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francheskacisterna/Downloads/"/>
    </mc:Choice>
  </mc:AlternateContent>
  <xr:revisionPtr revIDLastSave="0" documentId="13_ncr:1_{943C1DC5-9B09-104D-9551-03FA6E2DA2FF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Product Backlog" sheetId="1" r:id="rId1"/>
    <sheet name="Historias de Usuario" sheetId="2" r:id="rId2"/>
    <sheet name="Guía de us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" i="1" l="1"/>
  <c r="O9" i="1"/>
  <c r="O8" i="1"/>
  <c r="O7" i="1"/>
  <c r="O6" i="1"/>
</calcChain>
</file>

<file path=xl/sharedStrings.xml><?xml version="1.0" encoding="utf-8"?>
<sst xmlns="http://schemas.openxmlformats.org/spreadsheetml/2006/main" count="747" uniqueCount="369">
  <si>
    <t xml:space="preserve">LBWUS  |  Product Backlog </t>
  </si>
  <si>
    <t>ID Backlog</t>
  </si>
  <si>
    <t>ID Jira</t>
  </si>
  <si>
    <t>Sprint</t>
  </si>
  <si>
    <t>Épica</t>
  </si>
  <si>
    <t>Área / componente</t>
  </si>
  <si>
    <t>Elemento del trabajo</t>
  </si>
  <si>
    <t>Tipo</t>
  </si>
  <si>
    <t>Prioridad</t>
  </si>
  <si>
    <t>Criterios de aceptación</t>
  </si>
  <si>
    <t>Responsable</t>
  </si>
  <si>
    <t>Estado</t>
  </si>
  <si>
    <t>Observaciones</t>
  </si>
  <si>
    <t>PB-052</t>
  </si>
  <si>
    <t>SCRUM-15</t>
  </si>
  <si>
    <t>Sprint 1</t>
  </si>
  <si>
    <t>Fundamentos técnicos, acceso y seguridad de la plataforma web LBWUS</t>
  </si>
  <si>
    <t>Gestión del Proyecto</t>
  </si>
  <si>
    <t>1.4 Organizar control de versiones Git/GitHub</t>
  </si>
  <si>
    <t>Tarea</t>
  </si>
  <si>
    <t>Media</t>
  </si>
  <si>
    <t>El repositorio mantiene ramas y commits identificables y permite integrar cambios del equipo con trazabilidad.</t>
  </si>
  <si>
    <t>Benjamín Jonathan Nicovani Moya</t>
  </si>
  <si>
    <t>Finalizado</t>
  </si>
  <si>
    <t>Fecha objetivo Jira: 28/Sep/26 12:00 AM | Continuar usando el mismo flujo durante los Sprints siguientes.</t>
  </si>
  <si>
    <t>PB-042</t>
  </si>
  <si>
    <t>SCRUM-16</t>
  </si>
  <si>
    <t>1.6 Actualizar documentación del proyecto</t>
  </si>
  <si>
    <t>Los documentos del proyecto reflejan el estado vigente del desarrollo y los cambios acordados por el equipo.</t>
  </si>
  <si>
    <t>Francheska Cisterna Porras</t>
  </si>
  <si>
    <t>Fecha objetivo Jira: 28/Sep/26 12:00 AM | Actividad recurrente; puede generar nuevos ítems en Sprints futuros.</t>
  </si>
  <si>
    <t>Indicador</t>
  </si>
  <si>
    <t>Total</t>
  </si>
  <si>
    <t>PB-041</t>
  </si>
  <si>
    <t>SCRUM-17</t>
  </si>
  <si>
    <t>UX/UI y Diseño</t>
  </si>
  <si>
    <t>2.4 Diseñar experiencia y flujo de usuario</t>
  </si>
  <si>
    <t>Los principales recorridos de usuario quedan definidos y son coherentes con las funcionalidades del MVP.</t>
  </si>
  <si>
    <t>Fecha objetivo Jira: 21/Sep/26 12:00 AM | Actividad evidenciada como finalizada en Jira.</t>
  </si>
  <si>
    <t>Tareas seleccionadas</t>
  </si>
  <si>
    <t>PB-043</t>
  </si>
  <si>
    <t>SCRUM-18</t>
  </si>
  <si>
    <t>2.6 Definir componentes reutilizables del diseño</t>
  </si>
  <si>
    <t>Por definir / no incluido en la exportación de Jira.</t>
  </si>
  <si>
    <t>Fecha objetivo Jira: 28/Sep/26 12:00 AM</t>
  </si>
  <si>
    <t>PB-044</t>
  </si>
  <si>
    <t>SCRUM-19</t>
  </si>
  <si>
    <t>Frontend</t>
  </si>
  <si>
    <t>3.4 Corregir templates y rutas</t>
  </si>
  <si>
    <t>Alta</t>
  </si>
  <si>
    <t>Las vistas y rutas principales funcionan sin errores críticos y conducen al contenido esperado.</t>
  </si>
  <si>
    <t>Fecha objetivo Jira: 21/Sep/26 12:00 AM | Validar nuevamente cuando se integren cambios posteriores.</t>
  </si>
  <si>
    <t>Sprint 2</t>
  </si>
  <si>
    <t>PB-045</t>
  </si>
  <si>
    <t>SCRUM-20</t>
  </si>
  <si>
    <t>3.5 Unificar base.html, navbar y footer</t>
  </si>
  <si>
    <t>Finalizadas</t>
  </si>
  <si>
    <t>PB-046</t>
  </si>
  <si>
    <t>SCRUM-21</t>
  </si>
  <si>
    <t>Backend</t>
  </si>
  <si>
    <t>4.3 Corregir Views y URLs</t>
  </si>
  <si>
    <t>En curso</t>
  </si>
  <si>
    <t>PB-047</t>
  </si>
  <si>
    <t>SCRUM-22</t>
  </si>
  <si>
    <t>4.4 Mejorar validaciones del Backend</t>
  </si>
  <si>
    <t>Las entradas inválidas son rechazadas correctamente y los flujos principales mantienen consistencia.</t>
  </si>
  <si>
    <t>Franco Eduardo Sáez Martinez</t>
  </si>
  <si>
    <t>Fecha objetivo Jira: 21/Sep/26 12:00 AM | Mantener pruebas asociadas a los cambios.</t>
  </si>
  <si>
    <t>En revisión</t>
  </si>
  <si>
    <t>PB-048</t>
  </si>
  <si>
    <t>SCRUM-23</t>
  </si>
  <si>
    <t>4.5 Desarrollar lógica de negocio del MVP</t>
  </si>
  <si>
    <t>Los flujos principales definidos para el MVP operan sin errores críticos y se integran con las vistas y persistencia.</t>
  </si>
  <si>
    <t>Fecha objetivo Jira: 21/Sep/26 12:00 AM | Requiere revisión continua al incorporar nuevas funcionalidades.</t>
  </si>
  <si>
    <t>Por hacer</t>
  </si>
  <si>
    <t>PB-053</t>
  </si>
  <si>
    <t>SCRUM-24</t>
  </si>
  <si>
    <t>Usuarios y Autenticación</t>
  </si>
  <si>
    <t>5.4 Corregir autorización y permisos por rol</t>
  </si>
  <si>
    <t>Muy alta</t>
  </si>
  <si>
    <t>Cada tipo de usuario accede únicamente a las vistas y acciones permitidas; accesos no autorizados son rechazados.</t>
  </si>
  <si>
    <t>Fecha objetivo Jira: 28/Sep/26 12:00 AM | Depende de autenticación y definición de roles.</t>
  </si>
  <si>
    <t>PB-049</t>
  </si>
  <si>
    <t>SCRUM-25</t>
  </si>
  <si>
    <t>5.5 Centralizar autenticación y eliminar duplicación de contraseñas</t>
  </si>
  <si>
    <t>La autenticación utiliza una única fuente de credenciales y no existen contraseñas duplicadas entre modelos.</t>
  </si>
  <si>
    <t>Fecha objetivo Jira: 21/Sep/26 12:00 AM | Base para permisos y perfiles asociados a CustomUser.</t>
  </si>
  <si>
    <t>Los valores reflejan la última exportación entregada. La reasignación de épicas en Jira se validará cuando el espacio vuelva a estar disponible.</t>
  </si>
  <si>
    <t>PB-050</t>
  </si>
  <si>
    <t>SCRUM-26</t>
  </si>
  <si>
    <t>5.6 Vincular perfiles de usuario a CustomUser</t>
  </si>
  <si>
    <t>Cada perfil queda relacionado con un usuario autenticado sin duplicidades y mantiene integridad referencial.</t>
  </si>
  <si>
    <t>Fecha objetivo Jira: 28/Sep/26 12:00 AM | Depende de la autenticación centralizada. | Descripción Jira: Sera una tarea extensa, favor estar atento a los resultados</t>
  </si>
  <si>
    <t>PB-051</t>
  </si>
  <si>
    <t>SCRUM-40</t>
  </si>
  <si>
    <t>Base de Datos</t>
  </si>
  <si>
    <t>8.3 Revisar y depurar base de datos SQLite actual</t>
  </si>
  <si>
    <t>Los datos de prueba innecesarios son eliminados, las relaciones son consistentes y la aplicación mantiene funcionamiento correcto.</t>
  </si>
  <si>
    <t>Fecha objetivo Jira: 21/Sep/26 12:00 AM | La base actual observada en el repositorio es SQLite; no se declara migración a MongoDB como implementada.</t>
  </si>
  <si>
    <t>PB-055</t>
  </si>
  <si>
    <t>SCRUM-45</t>
  </si>
  <si>
    <t>Seguridad</t>
  </si>
  <si>
    <t>9.1 Configurar variables de entorno y proteger SECRET_KEY</t>
  </si>
  <si>
    <t>PB-054</t>
  </si>
  <si>
    <t>SCRUM-46</t>
  </si>
  <si>
    <t>9.2 Configurar seguridad según ambiente (DEBUG y ALLOWED_HOSTS)</t>
  </si>
  <si>
    <t>PB-056</t>
  </si>
  <si>
    <t>SCRUM-53</t>
  </si>
  <si>
    <t>QA, Documentación y Despliegue</t>
  </si>
  <si>
    <t>10.5 Completar documentación AS-IS y TO-BE</t>
  </si>
  <si>
    <t>Fecha objetivo Jira: 21/Sep/26 12:00 AM</t>
  </si>
  <si>
    <t>PB-003</t>
  </si>
  <si>
    <t>SCRUM-27</t>
  </si>
  <si>
    <t>Consolidación técnica y validación integral de la plataforma web LBWUS</t>
  </si>
  <si>
    <t>Funcionalidades Actuales</t>
  </si>
  <si>
    <t>6.6 Corregir y adaptar portales según tipo de usuario</t>
  </si>
  <si>
    <t>Cada tipo de usuario visualiza únicamente el portal, opciones y acciones que corresponden a su rol.</t>
  </si>
  <si>
    <t>Fecha objetivo Jira: 03/Oct/26 12:00 AM | Relacionada con permisos y autenticación.</t>
  </si>
  <si>
    <t>PB-002</t>
  </si>
  <si>
    <t>SCRUM-28</t>
  </si>
  <si>
    <t>6.8 Revisar y estabilizar los CRUD existentes</t>
  </si>
  <si>
    <t>Las operaciones crear, consultar, modificar y eliminar funcionan sin errores críticos en los módulos incluidos en el Sprint.</t>
  </si>
  <si>
    <t>Fecha objetivo Jira: 04/Oct/26 12:00 AM | Revisar después de cambios en modelos y relaciones.</t>
  </si>
  <si>
    <t>PB-001</t>
  </si>
  <si>
    <t>SCRUM-41</t>
  </si>
  <si>
    <t>8.4 Normalizar el modelo de datos</t>
  </si>
  <si>
    <t>El modelo actualizado reduce redundancias, mantiene relaciones consistentes y soporta los flujos definidos para el MVP.</t>
  </si>
  <si>
    <t>Fecha objetivo Jira: 04/Oct/26 12:00 AM | Relacionada con MER actualizado y entidades del nuevo MVP. | Descripción Jira: la imagen representa la base de datos sin normalizar</t>
  </si>
  <si>
    <t>PB-004</t>
  </si>
  <si>
    <t>SCRUM-42</t>
  </si>
  <si>
    <t>8.5 Diseñar MER actualizado de LBWUS</t>
  </si>
  <si>
    <t>El MER representa las entidades, atributos y relaciones vigentes del sistema y es coherente con los modelos implementados.</t>
  </si>
  <si>
    <t>Fecha objetivo Jira: 05/Oct/26 12:00 AM | Debe alinearse con los modelos Django actuales y futuras decisiones de persistencia.</t>
  </si>
  <si>
    <t>PB-006</t>
  </si>
  <si>
    <t>SCRUM-43</t>
  </si>
  <si>
    <t>8.6 Crear entidades necesarias para el nuevo MVP</t>
  </si>
  <si>
    <t>Las nuevas entidades quedan implementadas y relacionadas correctamente con el modelo de datos actualizado.</t>
  </si>
  <si>
    <t>Fecha objetivo Jira: 07/Oct/26 12:00 AM | Depende de la definición/actualización del modelo.</t>
  </si>
  <si>
    <t>PB-005</t>
  </si>
  <si>
    <t>SCRUM-47</t>
  </si>
  <si>
    <t>9.5 Implementar protección, privacidad y minimización de datos personales</t>
  </si>
  <si>
    <t>Los formularios y modelos solicitan solo datos necesarios y se aplican controles de privacidad definidos para LBWUS.</t>
  </si>
  <si>
    <t>Fecha objetivo Jira: 06/Oct/26 12:00 AM | Relacionada con RNF de seguridad y privacidad.</t>
  </si>
  <si>
    <t>PB-007</t>
  </si>
  <si>
    <t>SCRUM-49</t>
  </si>
  <si>
    <t>10.1 Ejecutar pruebas funcionales del MVP</t>
  </si>
  <si>
    <t>Los flujos principales son ejecutados y los resultados, incidencias y evidencias quedan registrados.</t>
  </si>
  <si>
    <t>Fecha objetivo Jira: 08/Oct/26 12:00 AM | Requiere funcionalidades integradas para validar.</t>
  </si>
  <si>
    <t>PB-008</t>
  </si>
  <si>
    <t>SCRUM-50</t>
  </si>
  <si>
    <t>10.2 Realizar pruebas de usabilidad</t>
  </si>
  <si>
    <t>Se registran participantes, tareas evaluadas, hallazgos y oportunidades de mejora sobre los flujos principales.</t>
  </si>
  <si>
    <t>Fecha objetivo Jira: 08/Oct/26 12:00 AM | Relacionada con RNF de usabilidad.</t>
  </si>
  <si>
    <t>PB-009</t>
  </si>
  <si>
    <t>SCRUM-51</t>
  </si>
  <si>
    <t>10.3 Ejecutar pruebas de integración y regresión</t>
  </si>
  <si>
    <t>Los componentes integrados funcionan en conjunto y los cambios no generan fallos críticos en funcionalidades previamente validadas.</t>
  </si>
  <si>
    <t>Fecha objetivo Jira: 09/Oct/26 12:00 AM | Ejecutar después de integrar cambios del Sprint.</t>
  </si>
  <si>
    <t>PB-057</t>
  </si>
  <si>
    <t>SCRUM-59</t>
  </si>
  <si>
    <t>11.1 Documentar metodología Scrum y su justificación en LBWUS</t>
  </si>
  <si>
    <t>El documento describe justificación, aplicación, roles, artefactos, eventos, DoD, herramientas y evidencias de Scrum en LBWUS.</t>
  </si>
  <si>
    <t>Fecha objetivo Jira: 03/Oct/26 12:00 AM | Documento desarrollado; actualizar estado real en Jira si corresponde.</t>
  </si>
  <si>
    <t>PB-058</t>
  </si>
  <si>
    <t>SCRUM-60</t>
  </si>
  <si>
    <t>11.2 Elaborar Product Vision de LBWUS</t>
  </si>
  <si>
    <t>La Product Vision define usuarios, problema, propuesta de valor, objetivos y orientación del producto.</t>
  </si>
  <si>
    <t>Fecha objetivo Jira: 03/Oct/26 12:00 AM | Validar con el equipo antes de cerrar.</t>
  </si>
  <si>
    <t>PB-059</t>
  </si>
  <si>
    <t>SCRUM-61</t>
  </si>
  <si>
    <t>11.3 Documentar Product Backlog</t>
  </si>
  <si>
    <t>El Product Backlog queda consolidado con elementos, prioridad, criterios, estado y Sprint cuando corresponda.</t>
  </si>
  <si>
    <t>Fecha objetivo Jira: 03/Oct/26 12:00 AM | Relacionar con la matriz Product Backlog y Jira.</t>
  </si>
  <si>
    <t>PB-060</t>
  </si>
  <si>
    <t>SCRUM-62</t>
  </si>
  <si>
    <t>11.4 Documentar Sprint Backlog</t>
  </si>
  <si>
    <t>Fecha objetivo Jira: 04/Oct/26 12:00 AM</t>
  </si>
  <si>
    <t>PB-061</t>
  </si>
  <si>
    <t>SCRUM-63</t>
  </si>
  <si>
    <t>11.5 Documentar Definition of Done</t>
  </si>
  <si>
    <t>Fecha objetivo Jira: 05/Oct/26 12:00 AM</t>
  </si>
  <si>
    <t>PB-062</t>
  </si>
  <si>
    <t>SCRUM-66</t>
  </si>
  <si>
    <t>11.6 Elaborar Informe de Arquitectura</t>
  </si>
  <si>
    <t>Fecha objetivo Jira: 07/Oct/26 12:00 AM</t>
  </si>
  <si>
    <t>PB-063</t>
  </si>
  <si>
    <t>SCRUM-67</t>
  </si>
  <si>
    <t>11.7 Elaborar Informe de Modelo de Datos</t>
  </si>
  <si>
    <t>PB-064</t>
  </si>
  <si>
    <t>SCRUM-68</t>
  </si>
  <si>
    <t>11.8 Elaborar Diagramas UML</t>
  </si>
  <si>
    <t>PB-065</t>
  </si>
  <si>
    <t>SCRUM-69</t>
  </si>
  <si>
    <t>11.9 Elaborar Informe de Requisitos No Funcionales</t>
  </si>
  <si>
    <t>Fecha objetivo Jira: 08/Oct/26 12:00 AM</t>
  </si>
  <si>
    <t>PB-066</t>
  </si>
  <si>
    <t>SCRUM-70</t>
  </si>
  <si>
    <t>11.10 Actualizar README</t>
  </si>
  <si>
    <t>PB-067</t>
  </si>
  <si>
    <t>SCRUM-71</t>
  </si>
  <si>
    <t>11.11 Elaborar Informe y Evidencias de Pruebas</t>
  </si>
  <si>
    <t>Fecha objetivo Jira: 10/Oct/26 12:00 AM</t>
  </si>
  <si>
    <t>PB-068</t>
  </si>
  <si>
    <t>SCRUM-72</t>
  </si>
  <si>
    <t>11.12 Elaborar Informe de Innovación de LBWUS</t>
  </si>
  <si>
    <t>PB-069</t>
  </si>
  <si>
    <t>SCRUM-73</t>
  </si>
  <si>
    <t>Análisis Estratégico e Innovación</t>
  </si>
  <si>
    <t>11.13 Elaborar Informe de Análisis de Mercado y Competencia</t>
  </si>
  <si>
    <t>PB-070</t>
  </si>
  <si>
    <t>SCRUM-74</t>
  </si>
  <si>
    <t>11.14 Elaborar Retrospectiva de Sprint 1 y Sprint 2</t>
  </si>
  <si>
    <t>PB-071</t>
  </si>
  <si>
    <t>SCRUM-75</t>
  </si>
  <si>
    <t>11.15 Consolidar Evidencias de Fase 2</t>
  </si>
  <si>
    <t>ID HU</t>
  </si>
  <si>
    <t>Rol</t>
  </si>
  <si>
    <t>Área funcional</t>
  </si>
  <si>
    <t>Historia de usuario</t>
  </si>
  <si>
    <t>Valor de negocio</t>
  </si>
  <si>
    <t>HU-03</t>
  </si>
  <si>
    <t>Profesional (profesor o ingeniero)</t>
  </si>
  <si>
    <t>Perfil profesional</t>
  </si>
  <si>
    <t>Como profesional, quiero disponer de un perfil detallado para presentar mi experiencia, especialidad y antecedentes relevantes a los estudiantes.</t>
  </si>
  <si>
    <t>Generar confianza y entregar información suficiente para que el estudiante pueda evaluar alternativas de tutoría.</t>
  </si>
  <si>
    <t>• El perfil muestra la información profesional definida por el proyecto.
• Los datos obligatorios son validados antes de guardar.
• La información puede ser visualizada desde el flujo de búsqueda.</t>
  </si>
  <si>
    <t>Pendiente</t>
  </si>
  <si>
    <t>Debe mantenerse alineada con las reglas de datos y validación que defina el equipo.</t>
  </si>
  <si>
    <t>HU-04</t>
  </si>
  <si>
    <t>Estudiante</t>
  </si>
  <si>
    <t>Búsqueda de profesionales</t>
  </si>
  <si>
    <t>Como estudiante, quiero buscar profesionales disponibles para encontrar apoyo académico de acuerdo con mi necesidad.</t>
  </si>
  <si>
    <t>Reducir el tiempo y dificultad para localizar alternativas de tutoría dentro de una única plataforma.</t>
  </si>
  <si>
    <t>• El estudiante puede ejecutar una búsqueda desde la plataforma.
• Se muestran profesionales que cumplen con los datos disponibles para búsqueda.
• Cada resultado permite acceder al perfil correspondiente.</t>
  </si>
  <si>
    <t>Funcionalidad central de la propuesta de valor de LBWUS.</t>
  </si>
  <si>
    <t>HU-05</t>
  </si>
  <si>
    <t>Filtros de búsqueda</t>
  </si>
  <si>
    <t>Como estudiante, quiero aplicar filtros a la búsqueda para comparar profesionales según criterios relevantes y encontrar una alternativa adecuada.</t>
  </si>
  <si>
    <t>Mejorar la precisión de los resultados y facilitar la decisión del estudiante.</t>
  </si>
  <si>
    <t>• Los filtros disponibles pueden aplicarse y retirarse sin errores.
• Los resultados se actualizan de acuerdo con los criterios seleccionados.
• La combinación de filtros no genera resultados incoherentes.</t>
  </si>
  <si>
    <t>Los filtros definitivos deben coincidir con la información disponible en los perfiles.</t>
  </si>
  <si>
    <t>HU-06</t>
  </si>
  <si>
    <t>Visualización de perfiles</t>
  </si>
  <si>
    <t>Como estudiante, quiero revisar el perfil detallado de un profesional antes de reservar para decidir si se ajusta a mis necesidades académicas.</t>
  </si>
  <si>
    <t>Permitir una comparación informada antes de iniciar una reserva.</t>
  </si>
  <si>
    <t>• El perfil es accesible desde los resultados de búsqueda.
• La información se presenta de forma clara y legible.
• Los datos mostrados corresponden al profesional seleccionado.</t>
  </si>
  <si>
    <t>Comparte la funcionalidad de perfil con HU-03, desde la perspectiva del estudiante.</t>
  </si>
  <si>
    <t>HU-07</t>
  </si>
  <si>
    <t>Disponibilidad de horarios</t>
  </si>
  <si>
    <t>Como profesional, quiero definir mi disponibilidad de horarios para informar cuándo puedo realizar tutorías.</t>
  </si>
  <si>
    <t>Evitar coordinaciones manuales innecesarias y permitir reservas sobre horarios disponibles.</t>
  </si>
  <si>
    <t>• El profesional puede registrar y actualizar su disponibilidad.
• Los horarios ocupados o no disponibles no se ofrecen como alternativas válidas.
• Los cambios quedan reflejados para futuras reservas.</t>
  </si>
  <si>
    <t>Es dependencia funcional del sistema de reservas.</t>
  </si>
  <si>
    <t>HU-08</t>
  </si>
  <si>
    <t>Reservas de tutorías</t>
  </si>
  <si>
    <t>Como estudiante, quiero reservar una tutoría en un horario disponible para coordinar una sesión con el profesional seleccionado.</t>
  </si>
  <si>
    <t>Centralizar la gestión de tutorías y reducir conflictos de coordinación.</t>
  </si>
  <si>
    <t>• Solo pueden seleccionarse horarios disponibles.
• La reserva queda asociada al estudiante, profesional y horario correspondiente.
• No se generan reservas duplicadas para el mismo horario.</t>
  </si>
  <si>
    <t>El carrito actual debe adaptarse al flujo definitivo de reservas.</t>
  </si>
  <si>
    <t>HU-09</t>
  </si>
  <si>
    <t>Pagos de tutorías</t>
  </si>
  <si>
    <t>Como estudiante, quiero realizar el pago de una tutoría mediante Transbank para completar la contratación del servicio dentro de LBWUS.</t>
  </si>
  <si>
    <t>Incorporar un flujo de pago integrado y trazable dentro de la plataforma.</t>
  </si>
  <si>
    <t>• El pago se inicia únicamente desde una reserva válida.
• La plataforma procesa el resultado informado por Transbank sin exponer credenciales sensibles.
• El estado de la operación queda asociado al flujo correspondiente.</t>
  </si>
  <si>
    <t>Debe validarse también la seguridad específica del flujo de pago.</t>
  </si>
  <si>
    <t>HU-10</t>
  </si>
  <si>
    <t>Estudiante / Profesional</t>
  </si>
  <si>
    <t>Mensajería</t>
  </si>
  <si>
    <t>Como usuario, quiero comunicarme mediante mensajería dentro de la plataforma para coordinar aspectos relacionados con la tutoría.</t>
  </si>
  <si>
    <t>Reducir la dependencia de canales externos y mantener la comunicación vinculada al servicio.</t>
  </si>
  <si>
    <t>• Los usuarios autorizados pueden enviar y recibir mensajes.
• Los mensajes se asocian a los participantes correctos.
• Un usuario no puede acceder a conversaciones ajenas.</t>
  </si>
  <si>
    <t>La implementación debe respetar permisos y privacidad de los usuarios.</t>
  </si>
  <si>
    <t>HU-11</t>
  </si>
  <si>
    <t>Usuario registrado</t>
  </si>
  <si>
    <t>Notificaciones</t>
  </si>
  <si>
    <t>Como usuario, quiero recibir notificaciones sobre eventos relevantes de mi cuenta o tutorías para mantenerme informado del estado de mis acciones.</t>
  </si>
  <si>
    <t>Mejorar el seguimiento de reservas y eventos importantes dentro de la plataforma.</t>
  </si>
  <si>
    <t>• Las notificaciones se generan ante los eventos definidos por el proyecto.
• El usuario puede identificar claramente el evento asociado.
• No se generan notificaciones para usuarios no relacionados con la acción.</t>
  </si>
  <si>
    <t>Los eventos exactos a notificar deben mantenerse alineados con los flujos implementados.</t>
  </si>
  <si>
    <t>HU-12</t>
  </si>
  <si>
    <t>Reseñas y calificaciones</t>
  </si>
  <si>
    <t>Como estudiante, quiero calificar y reseñar una tutoría realizada para compartir mi experiencia y aportar información a otros estudiantes.</t>
  </si>
  <si>
    <t>Aumentar la confianza y entregar referencias sobre la experiencia con los profesionales.</t>
  </si>
  <si>
    <t>• La evaluación se registra vinculada al usuario y profesional correspondientes.
• La calificación utiliza el formato definido por el proyecto.
• La reseña queda disponible según las reglas de visualización establecidas.</t>
  </si>
  <si>
    <t>Debe evitarse la creación de evaluaciones asociadas a usuarios o profesionales incorrectos.</t>
  </si>
  <si>
    <t>HU-13</t>
  </si>
  <si>
    <t>Administrador</t>
  </si>
  <si>
    <t>Administración</t>
  </si>
  <si>
    <t>Como administrador, quiero gestionar la información y componentes habilitados de la plataforma para apoyar la operación y control de LBWUS.</t>
  </si>
  <si>
    <t>Facilitar la administración del sistema y mantener control sobre la información gestionada.</t>
  </si>
  <si>
    <t>• El administrador accede únicamente con permisos administrativos válidos.
• Las operaciones habilitadas pueden ejecutarse sin afectar datos no relacionados.
• Las acciones mantienen las validaciones definidas por la aplicación.</t>
  </si>
  <si>
    <t>El alcance final del panel administrativo debe corresponder a las funcionalidades efectivamente implementadas.</t>
  </si>
  <si>
    <t>HU-14</t>
  </si>
  <si>
    <t>Privacidad y datos personales</t>
  </si>
  <si>
    <t>Como usuario, quiero que mis datos personales sean tratados de forma segura y limitada a lo necesario para utilizar LBWUS con confianza.</t>
  </si>
  <si>
    <t>Proteger la información de los usuarios y aplicar privacidad desde el diseño de la solución.</t>
  </si>
  <si>
    <t>• Se solicitan únicamente los datos definidos como necesarios para los flujos del sistema.
• El acceso a información sensible está restringido según permisos.
• Las configuraciones sensibles de la aplicación no se exponen al usuario ni al repositorio.</t>
  </si>
  <si>
    <t>Pendiente de completar</t>
  </si>
  <si>
    <t>Trabajo pendiente de privacidad y minimización de datos asociado a SCRUM-47 (Sprint 2); controles técnicos de seguridad ya abordados.</t>
  </si>
  <si>
    <t>LBWUS  |  Guía de uso del Product Backlog</t>
  </si>
  <si>
    <t>Concepto</t>
  </si>
  <si>
    <t>Criterio utilizado</t>
  </si>
  <si>
    <t>Alcance de la hoja principal</t>
  </si>
  <si>
    <t>Sprint 1 — Épica</t>
  </si>
  <si>
    <t>Sprint 2 — Épica</t>
  </si>
  <si>
    <t>Permite conservar la clasificación técnica original sin confundirla con la épica.</t>
  </si>
  <si>
    <t>Historias de usuario</t>
  </si>
  <si>
    <t>La hoja de historias registra necesidades todavía no implementadas o pendientes de validar, según las tareas finalizadas observadas.</t>
  </si>
  <si>
    <t>Trabajo futuro</t>
  </si>
  <si>
    <t>Sprint Planning</t>
  </si>
  <si>
    <t>En cada iteración el equipo selecciona el trabajo priorizado y define el Sprint Goal y el Sprint Backlog.</t>
  </si>
  <si>
    <t>Definition of Done</t>
  </si>
  <si>
    <t>Una historia no queda finalizada solo porque una tarea relacionada esté cerrada; su resultado debe cumplir los criterios de aceptación y el DoD.</t>
  </si>
  <si>
    <t>Trazabilidad</t>
  </si>
  <si>
    <t>Se mantienen IDs Jira, responsables, prioridades, estados y criterios de aceptación del archivo entregado, sin cambiar estados históricos.</t>
  </si>
  <si>
    <t>Validación pendiente</t>
  </si>
  <si>
    <t>La reasignación de las épicas debe confirmarse en Jira cuando el espacio esté restaurado.</t>
  </si>
  <si>
    <t>Sprint 3</t>
  </si>
  <si>
    <t>PB-072</t>
  </si>
  <si>
    <t>SCRUM-29</t>
  </si>
  <si>
    <t>Búsqueda, disponibilidad y reservas seguras en la plataforma web LBWUS</t>
  </si>
  <si>
    <t>Integrar la selección de clases y la inscripción en la experiencia del estudiante</t>
  </si>
  <si>
    <t>El estudiante selecciona una clase y un profesor habilitado; la inscripción utiliza la clase correcta y presenta confirmación o error; se verifican accesos autorizados.</t>
  </si>
  <si>
    <t>Vencimiento Jira: 25/10/2026 | Coordinar con el modelo de disponibilidad y reservas; integración con SCRUM-33 y SCRUM-34.</t>
  </si>
  <si>
    <t>PB-073</t>
  </si>
  <si>
    <t>SCRUM-30</t>
  </si>
  <si>
    <t>Nuevas Funcionalidades</t>
  </si>
  <si>
    <t>Integrar buscador de profesionales con datos reales de Django</t>
  </si>
  <si>
    <t>La búsqueda utiliza datos reales de profesionales aprobados; filtra por nombre y especialidad, trata resultados vacíos y evita presentar métricas simuladas como reales.</t>
  </si>
  <si>
    <t>Vencimiento Jira: 25/10/2026 | Utilizar los modelos actuales de Django y el catálogo de profesionales.</t>
  </si>
  <si>
    <t>PB-074</t>
  </si>
  <si>
    <t>SCRUM-31</t>
  </si>
  <si>
    <t>Completar filtros de búsqueda por especialidad, modalidad y disponibilidad real</t>
  </si>
  <si>
    <t>Los filtros combinan especialidad, modalidad y disponibilidad verificable; se muestran resultados coherentes y los casos sin coincidencias se informan correctamente.</t>
  </si>
  <si>
    <t>Vencimiento Jira: 25/10/2026 | Dependencia funcional de SCRUM-33 (disponibilidad de horarios).</t>
  </si>
  <si>
    <t>PB-075</t>
  </si>
  <si>
    <t>SCRUM-32</t>
  </si>
  <si>
    <t>Implementar perfil profesional detallado con información real y privacidad</t>
  </si>
  <si>
    <t>El perfil muestra datos profesionales y clases reales; se accede desde la búsqueda y no expone antecedentes personales o documentos privados.</t>
  </si>
  <si>
    <t>Vencimiento Jira: 25/10/2026 | Integración con catálogo Django y controles de acceso existentes.</t>
  </si>
  <si>
    <t>PB-076</t>
  </si>
  <si>
    <t>SCRUM-33</t>
  </si>
  <si>
    <t>Modelo de Datos</t>
  </si>
  <si>
    <t>Ampliar modelo de disponibilidad con fecha, cupos y valor de tutoría</t>
  </si>
  <si>
    <t>La disponibilidad contempla fecha, horario, cupos y valor; el modelo incluye migraciones y validaciones de integridad con pruebas asociadas.</t>
  </si>
  <si>
    <t>Vencimiento Jira: 25/10/2026 | Prerequisito para SCRUM-31 y SCRUM-34.</t>
  </si>
  <si>
    <t>PB-077</t>
  </si>
  <si>
    <t>SCRUM-34</t>
  </si>
  <si>
    <t>Implementar reserva segura y control de cupos para clases</t>
  </si>
  <si>
    <t>Las reservas validan disponibilidad y cupos; impiden duplicidades a nivel de datos y contemplan pruebas de concurrencia y permisos.</t>
  </si>
  <si>
    <t>Vencimiento Jira: 25/10/2026 | Depende de SCRUM-33.</t>
  </si>
  <si>
    <t>PB-078</t>
  </si>
  <si>
    <t>SCRUM-48</t>
  </si>
  <si>
    <t>Seguridad / Pagos</t>
  </si>
  <si>
    <t>Corregir y validar seguridad de pago Webpay y cálculo de honorarios</t>
  </si>
  <si>
    <t>El monto del pago se valida en servidor; se verifican las confirmaciones sin duplicarlas y los saldos se asocian a transacciones confirmadas.</t>
  </si>
  <si>
    <t>Vencimiento Jira: 25/10/2026 | Coordinar lógica de datos y remuneraciones con Franco; no iniciar pagos reales sin validaciones.</t>
  </si>
  <si>
    <t>PB-079</t>
  </si>
  <si>
    <t>SCRUM-52</t>
  </si>
  <si>
    <t>Automatizar pruebas de búsqueda, reservas, permisos y pagos</t>
  </si>
  <si>
    <t>Se ejecutan pruebas automatizadas de filtros, reservas, cupos, acceso y pagos, con resultados reproducibles y registro de incidencias.</t>
  </si>
  <si>
    <t>Vencimiento Jira: 25/10/2026 | Pruebas transversales a las funcionalidades implementadas durante Sprint 3.</t>
  </si>
  <si>
    <t>Contiene las 48 tareas seleccionadas: 16 en Sprint 1, 24 en Sprint 2 y 8 en Sprint 3. Se han añadido solo los elementos nuevos del Sprint 3.</t>
  </si>
  <si>
    <t>Cada tarea seleccionada en los Sprints 1, 2 y 3 muestra su épica correspondiente; el área técnica se conserva como clasificación adicional.</t>
  </si>
  <si>
    <t>Las tareas de Sprint 3 ya están seleccionadas en Jira. Los Sprints 4 y 5 continúan sin planificación ni tareas comprometidas.</t>
  </si>
  <si>
    <t>Sprint 3 — Épica</t>
  </si>
  <si>
    <t>Sprint 3 — Periodo</t>
  </si>
  <si>
    <t>12 al 25 de octubre de 2026</t>
  </si>
  <si>
    <t>LBWUS  |  Historias de usuario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</si>
</sst>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5"/>
      <color rgb="FFFFFFFF"/>
      <name val="Carlito"/>
    </font>
    <font>
      <b/>
      <sz val="10"/>
      <color rgb="FFFFFFFF"/>
      <name val="Carlito"/>
    </font>
    <font>
      <sz val="10"/>
      <color rgb="FF233449"/>
      <name val="Carlito"/>
    </font>
    <font>
      <b/>
      <sz val="11"/>
      <color rgb="FFFFFFFF"/>
      <name val="Carlito"/>
    </font>
    <font>
      <i/>
      <sz val="10"/>
      <color rgb="FF73551E"/>
      <name val="Carlito"/>
    </font>
    <font>
      <sz val="11"/>
      <color theme="3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183153"/>
      </patternFill>
    </fill>
    <fill>
      <patternFill patternType="solid">
        <fgColor rgb="FF275D92"/>
      </patternFill>
    </fill>
    <fill>
      <patternFill patternType="solid">
        <fgColor rgb="FFEAF1F8"/>
      </patternFill>
    </fill>
    <fill>
      <patternFill patternType="solid">
        <fgColor rgb="FFF2F0F9"/>
      </patternFill>
    </fill>
    <fill>
      <patternFill patternType="solid">
        <fgColor rgb="FFF5F8FC"/>
      </patternFill>
    </fill>
    <fill>
      <patternFill patternType="solid">
        <fgColor rgb="FFFFF7E3"/>
      </patternFill>
    </fill>
    <fill>
      <patternFill patternType="solid">
        <fgColor rgb="FFF4F7FB"/>
      </patternFill>
    </fill>
    <fill>
      <patternFill patternType="solid">
        <fgColor rgb="FFE8F3EA"/>
      </patternFill>
    </fill>
    <fill>
      <patternFill patternType="solid">
        <fgColor rgb="FFF2F0F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3" borderId="0" xfId="0" applyFont="1" applyFill="1" applyAlignment="1">
      <alignment wrapText="1"/>
    </xf>
    <xf numFmtId="0" fontId="0" fillId="6" borderId="0" xfId="0" applyFill="1"/>
    <xf numFmtId="0" fontId="0" fillId="6" borderId="1" xfId="0" applyFill="1" applyBorder="1"/>
    <xf numFmtId="0" fontId="2" fillId="3" borderId="2" xfId="0" applyFont="1" applyFill="1" applyBorder="1" applyAlignment="1">
      <alignment vertical="center" wrapText="1"/>
    </xf>
    <xf numFmtId="0" fontId="3" fillId="0" borderId="2" xfId="0" applyFont="1" applyBorder="1" applyAlignment="1">
      <alignment vertical="top" wrapText="1"/>
    </xf>
    <xf numFmtId="0" fontId="3" fillId="8" borderId="2" xfId="0" applyFont="1" applyFill="1" applyBorder="1" applyAlignment="1">
      <alignment vertical="top" wrapText="1"/>
    </xf>
    <xf numFmtId="0" fontId="3" fillId="9" borderId="2" xfId="0" applyFont="1" applyFill="1" applyBorder="1" applyAlignment="1">
      <alignment vertical="top" wrapText="1"/>
    </xf>
    <xf numFmtId="0" fontId="2" fillId="3" borderId="3" xfId="0" applyFont="1" applyFill="1" applyBorder="1" applyAlignment="1">
      <alignment vertical="center" wrapText="1"/>
    </xf>
    <xf numFmtId="0" fontId="3" fillId="0" borderId="3" xfId="0" applyFont="1" applyBorder="1" applyAlignment="1">
      <alignment vertical="top" wrapText="1"/>
    </xf>
    <xf numFmtId="0" fontId="3" fillId="4" borderId="3" xfId="0" applyFont="1" applyFill="1" applyBorder="1" applyAlignment="1">
      <alignment vertical="top" wrapText="1"/>
    </xf>
    <xf numFmtId="0" fontId="3" fillId="5" borderId="3" xfId="0" applyFont="1" applyFill="1" applyBorder="1" applyAlignment="1">
      <alignment vertical="top" wrapText="1"/>
    </xf>
    <xf numFmtId="0" fontId="1" fillId="2" borderId="0" xfId="0" applyFont="1" applyFill="1" applyAlignment="1">
      <alignment horizontal="left" vertical="center"/>
    </xf>
    <xf numFmtId="0" fontId="5" fillId="7" borderId="0" xfId="0" applyFont="1" applyFill="1" applyAlignment="1">
      <alignment wrapText="1"/>
    </xf>
    <xf numFmtId="0" fontId="1" fillId="2" borderId="3" xfId="0" applyFont="1" applyFill="1" applyBorder="1" applyAlignment="1">
      <alignment horizontal="left" vertical="center"/>
    </xf>
    <xf numFmtId="0" fontId="0" fillId="0" borderId="3" xfId="0" applyBorder="1" applyAlignment="1">
      <alignment vertical="top" wrapText="1"/>
    </xf>
    <xf numFmtId="0" fontId="0" fillId="10" borderId="3" xfId="0" applyFill="1" applyBorder="1" applyAlignment="1">
      <alignment vertical="top" wrapText="1"/>
    </xf>
    <xf numFmtId="0" fontId="6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"/>
  <sheetViews>
    <sheetView tabSelected="1" workbookViewId="0">
      <selection activeCell="F5" sqref="F5"/>
    </sheetView>
  </sheetViews>
  <sheetFormatPr baseColWidth="10" defaultColWidth="8.83203125" defaultRowHeight="15"/>
  <cols>
    <col min="1" max="1" width="12" customWidth="1"/>
    <col min="2" max="3" width="13" customWidth="1"/>
    <col min="4" max="4" width="39" customWidth="1"/>
    <col min="5" max="5" width="24" customWidth="1"/>
    <col min="6" max="6" width="40" customWidth="1"/>
    <col min="7" max="8" width="12" customWidth="1"/>
    <col min="9" max="9" width="45" customWidth="1"/>
    <col min="10" max="10" width="25" customWidth="1"/>
    <col min="11" max="11" width="13" customWidth="1"/>
    <col min="12" max="12" width="48" customWidth="1"/>
    <col min="14" max="14" width="26" customWidth="1"/>
    <col min="15" max="15" width="12" customWidth="1"/>
  </cols>
  <sheetData>
    <row r="1" spans="1:15" ht="45" customHeight="1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5" ht="45" customHeight="1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8" t="s">
        <v>11</v>
      </c>
      <c r="L2" s="8" t="s">
        <v>12</v>
      </c>
    </row>
    <row r="3" spans="1:15" ht="39" customHeight="1">
      <c r="A3" s="9" t="s">
        <v>13</v>
      </c>
      <c r="B3" s="9" t="s">
        <v>14</v>
      </c>
      <c r="C3" s="9" t="s">
        <v>15</v>
      </c>
      <c r="D3" s="10" t="s">
        <v>16</v>
      </c>
      <c r="E3" s="9" t="s">
        <v>17</v>
      </c>
      <c r="F3" s="9" t="s">
        <v>18</v>
      </c>
      <c r="G3" s="9" t="s">
        <v>19</v>
      </c>
      <c r="H3" s="9" t="s">
        <v>20</v>
      </c>
      <c r="I3" s="9" t="s">
        <v>21</v>
      </c>
      <c r="J3" s="9" t="s">
        <v>22</v>
      </c>
      <c r="K3" s="9" t="s">
        <v>23</v>
      </c>
      <c r="L3" s="9" t="s">
        <v>24</v>
      </c>
    </row>
    <row r="4" spans="1:15" ht="38" customHeight="1">
      <c r="A4" s="9" t="s">
        <v>25</v>
      </c>
      <c r="B4" s="9" t="s">
        <v>26</v>
      </c>
      <c r="C4" s="9" t="s">
        <v>15</v>
      </c>
      <c r="D4" s="10" t="s">
        <v>16</v>
      </c>
      <c r="E4" s="9" t="s">
        <v>17</v>
      </c>
      <c r="F4" s="9" t="s">
        <v>27</v>
      </c>
      <c r="G4" s="9" t="s">
        <v>19</v>
      </c>
      <c r="H4" s="9" t="s">
        <v>20</v>
      </c>
      <c r="I4" s="9" t="s">
        <v>28</v>
      </c>
      <c r="J4" s="9" t="s">
        <v>29</v>
      </c>
      <c r="K4" s="9" t="s">
        <v>23</v>
      </c>
      <c r="L4" s="9" t="s">
        <v>30</v>
      </c>
      <c r="N4" s="1" t="s">
        <v>31</v>
      </c>
      <c r="O4" s="1" t="s">
        <v>32</v>
      </c>
    </row>
    <row r="5" spans="1:15" ht="66" customHeight="1">
      <c r="A5" s="9" t="s">
        <v>33</v>
      </c>
      <c r="B5" s="9" t="s">
        <v>34</v>
      </c>
      <c r="C5" s="9" t="s">
        <v>15</v>
      </c>
      <c r="D5" s="10" t="s">
        <v>16</v>
      </c>
      <c r="E5" s="9" t="s">
        <v>35</v>
      </c>
      <c r="F5" s="9" t="s">
        <v>36</v>
      </c>
      <c r="G5" s="9" t="s">
        <v>19</v>
      </c>
      <c r="H5" s="9" t="s">
        <v>20</v>
      </c>
      <c r="I5" s="9" t="s">
        <v>37</v>
      </c>
      <c r="J5" s="9" t="s">
        <v>29</v>
      </c>
      <c r="K5" s="9" t="s">
        <v>23</v>
      </c>
      <c r="L5" s="9" t="s">
        <v>38</v>
      </c>
      <c r="N5" s="2" t="s">
        <v>39</v>
      </c>
      <c r="O5" s="2">
        <v>48</v>
      </c>
    </row>
    <row r="6" spans="1:15" ht="66" customHeight="1">
      <c r="A6" s="9" t="s">
        <v>40</v>
      </c>
      <c r="B6" s="9" t="s">
        <v>41</v>
      </c>
      <c r="C6" s="9" t="s">
        <v>15</v>
      </c>
      <c r="D6" s="10" t="s">
        <v>16</v>
      </c>
      <c r="E6" s="9" t="s">
        <v>35</v>
      </c>
      <c r="F6" s="9" t="s">
        <v>42</v>
      </c>
      <c r="G6" s="9" t="s">
        <v>19</v>
      </c>
      <c r="H6" s="9" t="s">
        <v>20</v>
      </c>
      <c r="I6" s="9" t="s">
        <v>43</v>
      </c>
      <c r="J6" s="9" t="s">
        <v>29</v>
      </c>
      <c r="K6" s="9" t="s">
        <v>23</v>
      </c>
      <c r="L6" s="9" t="s">
        <v>44</v>
      </c>
      <c r="N6" s="2" t="s">
        <v>15</v>
      </c>
      <c r="O6" s="2">
        <f>COUNTIF(C3:C42,"Sprint 1")</f>
        <v>16</v>
      </c>
    </row>
    <row r="7" spans="1:15" ht="66" customHeight="1">
      <c r="A7" s="9" t="s">
        <v>45</v>
      </c>
      <c r="B7" s="9" t="s">
        <v>46</v>
      </c>
      <c r="C7" s="9" t="s">
        <v>15</v>
      </c>
      <c r="D7" s="10" t="s">
        <v>16</v>
      </c>
      <c r="E7" s="9" t="s">
        <v>47</v>
      </c>
      <c r="F7" s="9" t="s">
        <v>48</v>
      </c>
      <c r="G7" s="9" t="s">
        <v>19</v>
      </c>
      <c r="H7" s="9" t="s">
        <v>49</v>
      </c>
      <c r="I7" s="9" t="s">
        <v>50</v>
      </c>
      <c r="J7" s="9" t="s">
        <v>29</v>
      </c>
      <c r="K7" s="9" t="s">
        <v>23</v>
      </c>
      <c r="L7" s="9" t="s">
        <v>51</v>
      </c>
      <c r="N7" s="2" t="s">
        <v>52</v>
      </c>
      <c r="O7" s="2">
        <f>COUNTIF(C3:C42,"Sprint 2")</f>
        <v>24</v>
      </c>
    </row>
    <row r="8" spans="1:15" ht="66" customHeight="1">
      <c r="A8" s="9" t="s">
        <v>53</v>
      </c>
      <c r="B8" s="9" t="s">
        <v>54</v>
      </c>
      <c r="C8" s="9" t="s">
        <v>15</v>
      </c>
      <c r="D8" s="10" t="s">
        <v>16</v>
      </c>
      <c r="E8" s="9" t="s">
        <v>47</v>
      </c>
      <c r="F8" s="9" t="s">
        <v>55</v>
      </c>
      <c r="G8" s="9" t="s">
        <v>19</v>
      </c>
      <c r="H8" s="9" t="s">
        <v>20</v>
      </c>
      <c r="I8" s="9" t="s">
        <v>43</v>
      </c>
      <c r="J8" s="9" t="s">
        <v>29</v>
      </c>
      <c r="K8" s="9" t="s">
        <v>23</v>
      </c>
      <c r="L8" s="9" t="s">
        <v>44</v>
      </c>
      <c r="N8" s="2" t="s">
        <v>56</v>
      </c>
      <c r="O8" s="2">
        <f>COUNTIF(K3:K42,"Finalizado")</f>
        <v>40</v>
      </c>
    </row>
    <row r="9" spans="1:15" ht="66" customHeight="1">
      <c r="A9" s="9" t="s">
        <v>57</v>
      </c>
      <c r="B9" s="9" t="s">
        <v>58</v>
      </c>
      <c r="C9" s="9" t="s">
        <v>15</v>
      </c>
      <c r="D9" s="10" t="s">
        <v>16</v>
      </c>
      <c r="E9" s="9" t="s">
        <v>59</v>
      </c>
      <c r="F9" s="9" t="s">
        <v>60</v>
      </c>
      <c r="G9" s="9" t="s">
        <v>19</v>
      </c>
      <c r="H9" s="9" t="s">
        <v>49</v>
      </c>
      <c r="I9" s="9" t="s">
        <v>43</v>
      </c>
      <c r="J9" s="9" t="s">
        <v>29</v>
      </c>
      <c r="K9" s="9" t="s">
        <v>23</v>
      </c>
      <c r="L9" s="9" t="s">
        <v>44</v>
      </c>
      <c r="N9" s="2" t="s">
        <v>61</v>
      </c>
      <c r="O9" s="2">
        <f>COUNTIF(K3:K42,"En curso")</f>
        <v>0</v>
      </c>
    </row>
    <row r="10" spans="1:15" ht="66" customHeight="1">
      <c r="A10" s="9" t="s">
        <v>62</v>
      </c>
      <c r="B10" s="9" t="s">
        <v>63</v>
      </c>
      <c r="C10" s="9" t="s">
        <v>15</v>
      </c>
      <c r="D10" s="10" t="s">
        <v>16</v>
      </c>
      <c r="E10" s="9" t="s">
        <v>59</v>
      </c>
      <c r="F10" s="9" t="s">
        <v>64</v>
      </c>
      <c r="G10" s="9" t="s">
        <v>19</v>
      </c>
      <c r="H10" s="9" t="s">
        <v>49</v>
      </c>
      <c r="I10" s="9" t="s">
        <v>65</v>
      </c>
      <c r="J10" s="9" t="s">
        <v>66</v>
      </c>
      <c r="K10" s="9" t="s">
        <v>23</v>
      </c>
      <c r="L10" s="9" t="s">
        <v>67</v>
      </c>
      <c r="N10" s="2" t="s">
        <v>68</v>
      </c>
      <c r="O10" s="2">
        <f>COUNTIF(K3:K42,"En revisión")</f>
        <v>0</v>
      </c>
    </row>
    <row r="11" spans="1:15" ht="66" customHeight="1">
      <c r="A11" s="9" t="s">
        <v>69</v>
      </c>
      <c r="B11" s="9" t="s">
        <v>70</v>
      </c>
      <c r="C11" s="9" t="s">
        <v>15</v>
      </c>
      <c r="D11" s="10" t="s">
        <v>16</v>
      </c>
      <c r="E11" s="9" t="s">
        <v>59</v>
      </c>
      <c r="F11" s="9" t="s">
        <v>71</v>
      </c>
      <c r="G11" s="9" t="s">
        <v>19</v>
      </c>
      <c r="H11" s="9" t="s">
        <v>49</v>
      </c>
      <c r="I11" s="9" t="s">
        <v>72</v>
      </c>
      <c r="J11" s="9" t="s">
        <v>66</v>
      </c>
      <c r="K11" s="9" t="s">
        <v>23</v>
      </c>
      <c r="L11" s="9" t="s">
        <v>73</v>
      </c>
      <c r="N11" s="3" t="s">
        <v>74</v>
      </c>
      <c r="O11" s="3">
        <v>8</v>
      </c>
    </row>
    <row r="12" spans="1:15" ht="66" customHeight="1">
      <c r="A12" s="9" t="s">
        <v>75</v>
      </c>
      <c r="B12" s="9" t="s">
        <v>76</v>
      </c>
      <c r="C12" s="9" t="s">
        <v>15</v>
      </c>
      <c r="D12" s="10" t="s">
        <v>16</v>
      </c>
      <c r="E12" s="9" t="s">
        <v>77</v>
      </c>
      <c r="F12" s="9" t="s">
        <v>78</v>
      </c>
      <c r="G12" s="9" t="s">
        <v>19</v>
      </c>
      <c r="H12" s="9" t="s">
        <v>79</v>
      </c>
      <c r="I12" s="9" t="s">
        <v>80</v>
      </c>
      <c r="J12" s="9" t="s">
        <v>22</v>
      </c>
      <c r="K12" s="9" t="s">
        <v>23</v>
      </c>
      <c r="L12" s="9" t="s">
        <v>81</v>
      </c>
      <c r="N12" t="s">
        <v>317</v>
      </c>
      <c r="O12">
        <v>8</v>
      </c>
    </row>
    <row r="13" spans="1:15" ht="66" customHeight="1">
      <c r="A13" s="9" t="s">
        <v>82</v>
      </c>
      <c r="B13" s="9" t="s">
        <v>83</v>
      </c>
      <c r="C13" s="9" t="s">
        <v>15</v>
      </c>
      <c r="D13" s="10" t="s">
        <v>16</v>
      </c>
      <c r="E13" s="9" t="s">
        <v>77</v>
      </c>
      <c r="F13" s="9" t="s">
        <v>84</v>
      </c>
      <c r="G13" s="9" t="s">
        <v>19</v>
      </c>
      <c r="H13" s="9" t="s">
        <v>79</v>
      </c>
      <c r="I13" s="9" t="s">
        <v>85</v>
      </c>
      <c r="J13" s="9" t="s">
        <v>66</v>
      </c>
      <c r="K13" s="9" t="s">
        <v>23</v>
      </c>
      <c r="L13" s="9" t="s">
        <v>86</v>
      </c>
      <c r="N13" s="13" t="s">
        <v>87</v>
      </c>
      <c r="O13" s="13"/>
    </row>
    <row r="14" spans="1:15" ht="66" customHeight="1">
      <c r="A14" s="9" t="s">
        <v>88</v>
      </c>
      <c r="B14" s="9" t="s">
        <v>89</v>
      </c>
      <c r="C14" s="9" t="s">
        <v>15</v>
      </c>
      <c r="D14" s="10" t="s">
        <v>16</v>
      </c>
      <c r="E14" s="9" t="s">
        <v>77</v>
      </c>
      <c r="F14" s="9" t="s">
        <v>90</v>
      </c>
      <c r="G14" s="9" t="s">
        <v>19</v>
      </c>
      <c r="H14" s="9" t="s">
        <v>49</v>
      </c>
      <c r="I14" s="9" t="s">
        <v>91</v>
      </c>
      <c r="J14" s="9" t="s">
        <v>66</v>
      </c>
      <c r="K14" s="9" t="s">
        <v>23</v>
      </c>
      <c r="L14" s="9" t="s">
        <v>92</v>
      </c>
      <c r="N14" s="13"/>
      <c r="O14" s="13"/>
    </row>
    <row r="15" spans="1:15" ht="66" customHeight="1">
      <c r="A15" s="9" t="s">
        <v>93</v>
      </c>
      <c r="B15" s="9" t="s">
        <v>94</v>
      </c>
      <c r="C15" s="9" t="s">
        <v>15</v>
      </c>
      <c r="D15" s="10" t="s">
        <v>16</v>
      </c>
      <c r="E15" s="9" t="s">
        <v>95</v>
      </c>
      <c r="F15" s="9" t="s">
        <v>96</v>
      </c>
      <c r="G15" s="9" t="s">
        <v>19</v>
      </c>
      <c r="H15" s="9" t="s">
        <v>79</v>
      </c>
      <c r="I15" s="9" t="s">
        <v>97</v>
      </c>
      <c r="J15" s="9" t="s">
        <v>66</v>
      </c>
      <c r="K15" s="9" t="s">
        <v>23</v>
      </c>
      <c r="L15" s="9" t="s">
        <v>98</v>
      </c>
      <c r="N15" s="13"/>
      <c r="O15" s="13"/>
    </row>
    <row r="16" spans="1:15" ht="66" customHeight="1">
      <c r="A16" s="9" t="s">
        <v>99</v>
      </c>
      <c r="B16" s="9" t="s">
        <v>100</v>
      </c>
      <c r="C16" s="9" t="s">
        <v>15</v>
      </c>
      <c r="D16" s="10" t="s">
        <v>16</v>
      </c>
      <c r="E16" s="9" t="s">
        <v>101</v>
      </c>
      <c r="F16" s="9" t="s">
        <v>102</v>
      </c>
      <c r="G16" s="9" t="s">
        <v>19</v>
      </c>
      <c r="H16" s="9" t="s">
        <v>79</v>
      </c>
      <c r="I16" s="9" t="s">
        <v>43</v>
      </c>
      <c r="J16" s="9" t="s">
        <v>22</v>
      </c>
      <c r="K16" s="9" t="s">
        <v>23</v>
      </c>
      <c r="L16" s="9" t="s">
        <v>44</v>
      </c>
    </row>
    <row r="17" spans="1:12" ht="66" customHeight="1">
      <c r="A17" s="9" t="s">
        <v>103</v>
      </c>
      <c r="B17" s="9" t="s">
        <v>104</v>
      </c>
      <c r="C17" s="9" t="s">
        <v>15</v>
      </c>
      <c r="D17" s="10" t="s">
        <v>16</v>
      </c>
      <c r="E17" s="9" t="s">
        <v>101</v>
      </c>
      <c r="F17" s="9" t="s">
        <v>105</v>
      </c>
      <c r="G17" s="9" t="s">
        <v>19</v>
      </c>
      <c r="H17" s="9" t="s">
        <v>79</v>
      </c>
      <c r="I17" s="9" t="s">
        <v>43</v>
      </c>
      <c r="J17" s="9" t="s">
        <v>22</v>
      </c>
      <c r="K17" s="9" t="s">
        <v>23</v>
      </c>
      <c r="L17" s="9" t="s">
        <v>44</v>
      </c>
    </row>
    <row r="18" spans="1:12" ht="66" customHeight="1">
      <c r="A18" s="9" t="s">
        <v>106</v>
      </c>
      <c r="B18" s="9" t="s">
        <v>107</v>
      </c>
      <c r="C18" s="9" t="s">
        <v>15</v>
      </c>
      <c r="D18" s="10" t="s">
        <v>16</v>
      </c>
      <c r="E18" s="9" t="s">
        <v>108</v>
      </c>
      <c r="F18" s="9" t="s">
        <v>109</v>
      </c>
      <c r="G18" s="9" t="s">
        <v>19</v>
      </c>
      <c r="H18" s="9" t="s">
        <v>49</v>
      </c>
      <c r="I18" s="9" t="s">
        <v>43</v>
      </c>
      <c r="J18" s="9" t="s">
        <v>22</v>
      </c>
      <c r="K18" s="9" t="s">
        <v>23</v>
      </c>
      <c r="L18" s="9" t="s">
        <v>110</v>
      </c>
    </row>
    <row r="19" spans="1:12" ht="66" customHeight="1">
      <c r="A19" s="9" t="s">
        <v>111</v>
      </c>
      <c r="B19" s="9" t="s">
        <v>112</v>
      </c>
      <c r="C19" s="9" t="s">
        <v>52</v>
      </c>
      <c r="D19" s="11" t="s">
        <v>113</v>
      </c>
      <c r="E19" s="9" t="s">
        <v>114</v>
      </c>
      <c r="F19" s="9" t="s">
        <v>115</v>
      </c>
      <c r="G19" s="9" t="s">
        <v>19</v>
      </c>
      <c r="H19" s="9" t="s">
        <v>49</v>
      </c>
      <c r="I19" s="9" t="s">
        <v>116</v>
      </c>
      <c r="J19" s="9" t="s">
        <v>29</v>
      </c>
      <c r="K19" s="9" t="s">
        <v>23</v>
      </c>
      <c r="L19" s="9" t="s">
        <v>117</v>
      </c>
    </row>
    <row r="20" spans="1:12" ht="66" customHeight="1">
      <c r="A20" s="9" t="s">
        <v>118</v>
      </c>
      <c r="B20" s="9" t="s">
        <v>119</v>
      </c>
      <c r="C20" s="9" t="s">
        <v>52</v>
      </c>
      <c r="D20" s="11" t="s">
        <v>113</v>
      </c>
      <c r="E20" s="9" t="s">
        <v>114</v>
      </c>
      <c r="F20" s="9" t="s">
        <v>120</v>
      </c>
      <c r="G20" s="9" t="s">
        <v>19</v>
      </c>
      <c r="H20" s="9" t="s">
        <v>49</v>
      </c>
      <c r="I20" s="9" t="s">
        <v>121</v>
      </c>
      <c r="J20" s="9" t="s">
        <v>66</v>
      </c>
      <c r="K20" s="9" t="s">
        <v>23</v>
      </c>
      <c r="L20" s="9" t="s">
        <v>122</v>
      </c>
    </row>
    <row r="21" spans="1:12" ht="66" customHeight="1">
      <c r="A21" s="9" t="s">
        <v>123</v>
      </c>
      <c r="B21" s="9" t="s">
        <v>124</v>
      </c>
      <c r="C21" s="9" t="s">
        <v>52</v>
      </c>
      <c r="D21" s="11" t="s">
        <v>113</v>
      </c>
      <c r="E21" s="9" t="s">
        <v>95</v>
      </c>
      <c r="F21" s="9" t="s">
        <v>125</v>
      </c>
      <c r="G21" s="9" t="s">
        <v>19</v>
      </c>
      <c r="H21" s="9" t="s">
        <v>79</v>
      </c>
      <c r="I21" s="9" t="s">
        <v>126</v>
      </c>
      <c r="J21" s="9" t="s">
        <v>66</v>
      </c>
      <c r="K21" s="9" t="s">
        <v>23</v>
      </c>
      <c r="L21" s="9" t="s">
        <v>127</v>
      </c>
    </row>
    <row r="22" spans="1:12" ht="66" customHeight="1">
      <c r="A22" s="9" t="s">
        <v>128</v>
      </c>
      <c r="B22" s="9" t="s">
        <v>129</v>
      </c>
      <c r="C22" s="9" t="s">
        <v>52</v>
      </c>
      <c r="D22" s="11" t="s">
        <v>113</v>
      </c>
      <c r="E22" s="9" t="s">
        <v>95</v>
      </c>
      <c r="F22" s="9" t="s">
        <v>130</v>
      </c>
      <c r="G22" s="9" t="s">
        <v>19</v>
      </c>
      <c r="H22" s="9" t="s">
        <v>79</v>
      </c>
      <c r="I22" s="9" t="s">
        <v>131</v>
      </c>
      <c r="J22" s="9" t="s">
        <v>66</v>
      </c>
      <c r="K22" s="9" t="s">
        <v>23</v>
      </c>
      <c r="L22" s="9" t="s">
        <v>132</v>
      </c>
    </row>
    <row r="23" spans="1:12" ht="66" customHeight="1">
      <c r="A23" s="9" t="s">
        <v>133</v>
      </c>
      <c r="B23" s="9" t="s">
        <v>134</v>
      </c>
      <c r="C23" s="9" t="s">
        <v>52</v>
      </c>
      <c r="D23" s="11" t="s">
        <v>113</v>
      </c>
      <c r="E23" s="9" t="s">
        <v>95</v>
      </c>
      <c r="F23" s="9" t="s">
        <v>135</v>
      </c>
      <c r="G23" s="9" t="s">
        <v>19</v>
      </c>
      <c r="H23" s="9" t="s">
        <v>79</v>
      </c>
      <c r="I23" s="9" t="s">
        <v>136</v>
      </c>
      <c r="J23" s="9" t="s">
        <v>66</v>
      </c>
      <c r="K23" s="9" t="s">
        <v>23</v>
      </c>
      <c r="L23" s="9" t="s">
        <v>137</v>
      </c>
    </row>
    <row r="24" spans="1:12" ht="66" customHeight="1">
      <c r="A24" s="9" t="s">
        <v>138</v>
      </c>
      <c r="B24" s="9" t="s">
        <v>139</v>
      </c>
      <c r="C24" s="9" t="s">
        <v>52</v>
      </c>
      <c r="D24" s="11" t="s">
        <v>113</v>
      </c>
      <c r="E24" s="9" t="s">
        <v>101</v>
      </c>
      <c r="F24" s="9" t="s">
        <v>140</v>
      </c>
      <c r="G24" s="9" t="s">
        <v>19</v>
      </c>
      <c r="H24" s="9" t="s">
        <v>79</v>
      </c>
      <c r="I24" s="9" t="s">
        <v>141</v>
      </c>
      <c r="J24" s="9" t="s">
        <v>22</v>
      </c>
      <c r="K24" s="9" t="s">
        <v>23</v>
      </c>
      <c r="L24" s="9" t="s">
        <v>142</v>
      </c>
    </row>
    <row r="25" spans="1:12" ht="66" customHeight="1">
      <c r="A25" s="9" t="s">
        <v>143</v>
      </c>
      <c r="B25" s="9" t="s">
        <v>144</v>
      </c>
      <c r="C25" s="9" t="s">
        <v>52</v>
      </c>
      <c r="D25" s="11" t="s">
        <v>113</v>
      </c>
      <c r="E25" s="9" t="s">
        <v>108</v>
      </c>
      <c r="F25" s="9" t="s">
        <v>145</v>
      </c>
      <c r="G25" s="9" t="s">
        <v>19</v>
      </c>
      <c r="H25" s="9" t="s">
        <v>79</v>
      </c>
      <c r="I25" s="9" t="s">
        <v>146</v>
      </c>
      <c r="J25" s="9" t="s">
        <v>22</v>
      </c>
      <c r="K25" s="9" t="s">
        <v>23</v>
      </c>
      <c r="L25" s="9" t="s">
        <v>147</v>
      </c>
    </row>
    <row r="26" spans="1:12" ht="66" customHeight="1">
      <c r="A26" s="9" t="s">
        <v>148</v>
      </c>
      <c r="B26" s="9" t="s">
        <v>149</v>
      </c>
      <c r="C26" s="9" t="s">
        <v>52</v>
      </c>
      <c r="D26" s="11" t="s">
        <v>113</v>
      </c>
      <c r="E26" s="9" t="s">
        <v>108</v>
      </c>
      <c r="F26" s="9" t="s">
        <v>150</v>
      </c>
      <c r="G26" s="9" t="s">
        <v>19</v>
      </c>
      <c r="H26" s="9" t="s">
        <v>49</v>
      </c>
      <c r="I26" s="9" t="s">
        <v>151</v>
      </c>
      <c r="J26" s="9" t="s">
        <v>29</v>
      </c>
      <c r="K26" s="9" t="s">
        <v>23</v>
      </c>
      <c r="L26" s="9" t="s">
        <v>152</v>
      </c>
    </row>
    <row r="27" spans="1:12" ht="66" customHeight="1">
      <c r="A27" s="9" t="s">
        <v>153</v>
      </c>
      <c r="B27" s="9" t="s">
        <v>154</v>
      </c>
      <c r="C27" s="9" t="s">
        <v>52</v>
      </c>
      <c r="D27" s="11" t="s">
        <v>113</v>
      </c>
      <c r="E27" s="9" t="s">
        <v>108</v>
      </c>
      <c r="F27" s="9" t="s">
        <v>155</v>
      </c>
      <c r="G27" s="9" t="s">
        <v>19</v>
      </c>
      <c r="H27" s="9" t="s">
        <v>79</v>
      </c>
      <c r="I27" s="9" t="s">
        <v>156</v>
      </c>
      <c r="J27" s="9" t="s">
        <v>66</v>
      </c>
      <c r="K27" s="9" t="s">
        <v>23</v>
      </c>
      <c r="L27" s="9" t="s">
        <v>157</v>
      </c>
    </row>
    <row r="28" spans="1:12" ht="66" customHeight="1">
      <c r="A28" s="9" t="s">
        <v>158</v>
      </c>
      <c r="B28" s="9" t="s">
        <v>159</v>
      </c>
      <c r="C28" s="9" t="s">
        <v>52</v>
      </c>
      <c r="D28" s="11" t="s">
        <v>113</v>
      </c>
      <c r="E28" s="9" t="s">
        <v>108</v>
      </c>
      <c r="F28" s="9" t="s">
        <v>160</v>
      </c>
      <c r="G28" s="9" t="s">
        <v>19</v>
      </c>
      <c r="H28" s="9" t="s">
        <v>49</v>
      </c>
      <c r="I28" s="9" t="s">
        <v>161</v>
      </c>
      <c r="J28" s="9" t="s">
        <v>29</v>
      </c>
      <c r="K28" s="9" t="s">
        <v>23</v>
      </c>
      <c r="L28" s="9" t="s">
        <v>162</v>
      </c>
    </row>
    <row r="29" spans="1:12" ht="66" customHeight="1">
      <c r="A29" s="9" t="s">
        <v>163</v>
      </c>
      <c r="B29" s="9" t="s">
        <v>164</v>
      </c>
      <c r="C29" s="9" t="s">
        <v>52</v>
      </c>
      <c r="D29" s="11" t="s">
        <v>113</v>
      </c>
      <c r="E29" s="9" t="s">
        <v>108</v>
      </c>
      <c r="F29" s="9" t="s">
        <v>165</v>
      </c>
      <c r="G29" s="9" t="s">
        <v>19</v>
      </c>
      <c r="H29" s="9" t="s">
        <v>49</v>
      </c>
      <c r="I29" s="9" t="s">
        <v>166</v>
      </c>
      <c r="J29" s="9" t="s">
        <v>22</v>
      </c>
      <c r="K29" s="9" t="s">
        <v>23</v>
      </c>
      <c r="L29" s="9" t="s">
        <v>167</v>
      </c>
    </row>
    <row r="30" spans="1:12" ht="66" customHeight="1">
      <c r="A30" s="9" t="s">
        <v>168</v>
      </c>
      <c r="B30" s="9" t="s">
        <v>169</v>
      </c>
      <c r="C30" s="9" t="s">
        <v>52</v>
      </c>
      <c r="D30" s="11" t="s">
        <v>113</v>
      </c>
      <c r="E30" s="9" t="s">
        <v>108</v>
      </c>
      <c r="F30" s="9" t="s">
        <v>170</v>
      </c>
      <c r="G30" s="9" t="s">
        <v>19</v>
      </c>
      <c r="H30" s="9" t="s">
        <v>49</v>
      </c>
      <c r="I30" s="9" t="s">
        <v>171</v>
      </c>
      <c r="J30" s="9" t="s">
        <v>66</v>
      </c>
      <c r="K30" s="9" t="s">
        <v>23</v>
      </c>
      <c r="L30" s="9" t="s">
        <v>172</v>
      </c>
    </row>
    <row r="31" spans="1:12" ht="66" customHeight="1">
      <c r="A31" s="9" t="s">
        <v>173</v>
      </c>
      <c r="B31" s="9" t="s">
        <v>174</v>
      </c>
      <c r="C31" s="9" t="s">
        <v>52</v>
      </c>
      <c r="D31" s="11" t="s">
        <v>113</v>
      </c>
      <c r="E31" s="9" t="s">
        <v>108</v>
      </c>
      <c r="F31" s="9" t="s">
        <v>175</v>
      </c>
      <c r="G31" s="9" t="s">
        <v>19</v>
      </c>
      <c r="H31" s="9" t="s">
        <v>49</v>
      </c>
      <c r="I31" s="9" t="s">
        <v>43</v>
      </c>
      <c r="J31" s="9" t="s">
        <v>66</v>
      </c>
      <c r="K31" s="9" t="s">
        <v>23</v>
      </c>
      <c r="L31" s="9" t="s">
        <v>176</v>
      </c>
    </row>
    <row r="32" spans="1:12" ht="66" customHeight="1">
      <c r="A32" s="9" t="s">
        <v>177</v>
      </c>
      <c r="B32" s="9" t="s">
        <v>178</v>
      </c>
      <c r="C32" s="9" t="s">
        <v>52</v>
      </c>
      <c r="D32" s="11" t="s">
        <v>113</v>
      </c>
      <c r="E32" s="9" t="s">
        <v>108</v>
      </c>
      <c r="F32" s="9" t="s">
        <v>179</v>
      </c>
      <c r="G32" s="9" t="s">
        <v>19</v>
      </c>
      <c r="H32" s="9" t="s">
        <v>49</v>
      </c>
      <c r="I32" s="9" t="s">
        <v>43</v>
      </c>
      <c r="J32" s="9" t="s">
        <v>22</v>
      </c>
      <c r="K32" s="9" t="s">
        <v>23</v>
      </c>
      <c r="L32" s="9" t="s">
        <v>180</v>
      </c>
    </row>
    <row r="33" spans="1:12" ht="66" customHeight="1">
      <c r="A33" s="9" t="s">
        <v>181</v>
      </c>
      <c r="B33" s="9" t="s">
        <v>182</v>
      </c>
      <c r="C33" s="9" t="s">
        <v>52</v>
      </c>
      <c r="D33" s="11" t="s">
        <v>113</v>
      </c>
      <c r="E33" s="9" t="s">
        <v>108</v>
      </c>
      <c r="F33" s="9" t="s">
        <v>183</v>
      </c>
      <c r="G33" s="9" t="s">
        <v>19</v>
      </c>
      <c r="H33" s="9" t="s">
        <v>79</v>
      </c>
      <c r="I33" s="9" t="s">
        <v>43</v>
      </c>
      <c r="J33" s="9" t="s">
        <v>29</v>
      </c>
      <c r="K33" s="9" t="s">
        <v>23</v>
      </c>
      <c r="L33" s="9" t="s">
        <v>184</v>
      </c>
    </row>
    <row r="34" spans="1:12" ht="66" customHeight="1">
      <c r="A34" s="9" t="s">
        <v>185</v>
      </c>
      <c r="B34" s="9" t="s">
        <v>186</v>
      </c>
      <c r="C34" s="9" t="s">
        <v>52</v>
      </c>
      <c r="D34" s="11" t="s">
        <v>113</v>
      </c>
      <c r="E34" s="9" t="s">
        <v>95</v>
      </c>
      <c r="F34" s="9" t="s">
        <v>187</v>
      </c>
      <c r="G34" s="9" t="s">
        <v>19</v>
      </c>
      <c r="H34" s="9" t="s">
        <v>79</v>
      </c>
      <c r="I34" s="9" t="s">
        <v>43</v>
      </c>
      <c r="J34" s="9" t="s">
        <v>29</v>
      </c>
      <c r="K34" s="9" t="s">
        <v>23</v>
      </c>
      <c r="L34" s="9" t="s">
        <v>184</v>
      </c>
    </row>
    <row r="35" spans="1:12" ht="66" customHeight="1">
      <c r="A35" s="9" t="s">
        <v>188</v>
      </c>
      <c r="B35" s="9" t="s">
        <v>189</v>
      </c>
      <c r="C35" s="9" t="s">
        <v>52</v>
      </c>
      <c r="D35" s="11" t="s">
        <v>113</v>
      </c>
      <c r="E35" s="9" t="s">
        <v>108</v>
      </c>
      <c r="F35" s="9" t="s">
        <v>190</v>
      </c>
      <c r="G35" s="9" t="s">
        <v>19</v>
      </c>
      <c r="H35" s="9" t="s">
        <v>79</v>
      </c>
      <c r="I35" s="9" t="s">
        <v>43</v>
      </c>
      <c r="J35" s="9" t="s">
        <v>22</v>
      </c>
      <c r="K35" s="9" t="s">
        <v>23</v>
      </c>
      <c r="L35" s="9" t="s">
        <v>184</v>
      </c>
    </row>
    <row r="36" spans="1:12" ht="66" customHeight="1">
      <c r="A36" s="9" t="s">
        <v>191</v>
      </c>
      <c r="B36" s="9" t="s">
        <v>192</v>
      </c>
      <c r="C36" s="9" t="s">
        <v>52</v>
      </c>
      <c r="D36" s="11" t="s">
        <v>113</v>
      </c>
      <c r="E36" s="9" t="s">
        <v>108</v>
      </c>
      <c r="F36" s="9" t="s">
        <v>193</v>
      </c>
      <c r="G36" s="9" t="s">
        <v>19</v>
      </c>
      <c r="H36" s="9" t="s">
        <v>79</v>
      </c>
      <c r="I36" s="9" t="s">
        <v>43</v>
      </c>
      <c r="J36" s="9" t="s">
        <v>29</v>
      </c>
      <c r="K36" s="9" t="s">
        <v>23</v>
      </c>
      <c r="L36" s="9" t="s">
        <v>194</v>
      </c>
    </row>
    <row r="37" spans="1:12" ht="66" customHeight="1">
      <c r="A37" s="9" t="s">
        <v>195</v>
      </c>
      <c r="B37" s="9" t="s">
        <v>196</v>
      </c>
      <c r="C37" s="9" t="s">
        <v>52</v>
      </c>
      <c r="D37" s="11" t="s">
        <v>113</v>
      </c>
      <c r="E37" s="9" t="s">
        <v>108</v>
      </c>
      <c r="F37" s="9" t="s">
        <v>197</v>
      </c>
      <c r="G37" s="9" t="s">
        <v>19</v>
      </c>
      <c r="H37" s="9" t="s">
        <v>20</v>
      </c>
      <c r="I37" s="9" t="s">
        <v>43</v>
      </c>
      <c r="J37" s="9" t="s">
        <v>66</v>
      </c>
      <c r="K37" s="9" t="s">
        <v>23</v>
      </c>
      <c r="L37" s="9" t="s">
        <v>194</v>
      </c>
    </row>
    <row r="38" spans="1:12" ht="66" customHeight="1">
      <c r="A38" s="9" t="s">
        <v>198</v>
      </c>
      <c r="B38" s="9" t="s">
        <v>199</v>
      </c>
      <c r="C38" s="9" t="s">
        <v>52</v>
      </c>
      <c r="D38" s="11" t="s">
        <v>113</v>
      </c>
      <c r="E38" s="9" t="s">
        <v>108</v>
      </c>
      <c r="F38" s="9" t="s">
        <v>200</v>
      </c>
      <c r="G38" s="9" t="s">
        <v>19</v>
      </c>
      <c r="H38" s="9" t="s">
        <v>79</v>
      </c>
      <c r="I38" s="9" t="s">
        <v>43</v>
      </c>
      <c r="J38" s="9" t="s">
        <v>29</v>
      </c>
      <c r="K38" s="9" t="s">
        <v>23</v>
      </c>
      <c r="L38" s="9" t="s">
        <v>201</v>
      </c>
    </row>
    <row r="39" spans="1:12" ht="66" customHeight="1">
      <c r="A39" s="9" t="s">
        <v>202</v>
      </c>
      <c r="B39" s="9" t="s">
        <v>203</v>
      </c>
      <c r="C39" s="9" t="s">
        <v>52</v>
      </c>
      <c r="D39" s="11" t="s">
        <v>113</v>
      </c>
      <c r="E39" s="9" t="s">
        <v>108</v>
      </c>
      <c r="F39" s="9" t="s">
        <v>204</v>
      </c>
      <c r="G39" s="9" t="s">
        <v>19</v>
      </c>
      <c r="H39" s="9" t="s">
        <v>49</v>
      </c>
      <c r="I39" s="9" t="s">
        <v>43</v>
      </c>
      <c r="J39" s="9" t="s">
        <v>29</v>
      </c>
      <c r="K39" s="9" t="s">
        <v>23</v>
      </c>
      <c r="L39" s="9" t="s">
        <v>201</v>
      </c>
    </row>
    <row r="40" spans="1:12" ht="66" customHeight="1">
      <c r="A40" s="9" t="s">
        <v>205</v>
      </c>
      <c r="B40" s="9" t="s">
        <v>206</v>
      </c>
      <c r="C40" s="9" t="s">
        <v>52</v>
      </c>
      <c r="D40" s="11" t="s">
        <v>113</v>
      </c>
      <c r="E40" s="9" t="s">
        <v>207</v>
      </c>
      <c r="F40" s="9" t="s">
        <v>208</v>
      </c>
      <c r="G40" s="9" t="s">
        <v>19</v>
      </c>
      <c r="H40" s="9" t="s">
        <v>49</v>
      </c>
      <c r="I40" s="9" t="s">
        <v>43</v>
      </c>
      <c r="J40" s="9" t="s">
        <v>22</v>
      </c>
      <c r="K40" s="9" t="s">
        <v>23</v>
      </c>
      <c r="L40" s="9" t="s">
        <v>201</v>
      </c>
    </row>
    <row r="41" spans="1:12" ht="66" customHeight="1">
      <c r="A41" s="9" t="s">
        <v>209</v>
      </c>
      <c r="B41" s="9" t="s">
        <v>210</v>
      </c>
      <c r="C41" s="9" t="s">
        <v>52</v>
      </c>
      <c r="D41" s="11" t="s">
        <v>113</v>
      </c>
      <c r="E41" s="9" t="s">
        <v>108</v>
      </c>
      <c r="F41" s="9" t="s">
        <v>211</v>
      </c>
      <c r="G41" s="9" t="s">
        <v>19</v>
      </c>
      <c r="H41" s="9" t="s">
        <v>49</v>
      </c>
      <c r="I41" s="9" t="s">
        <v>43</v>
      </c>
      <c r="J41" s="9" t="s">
        <v>66</v>
      </c>
      <c r="K41" s="9" t="s">
        <v>23</v>
      </c>
      <c r="L41" s="9" t="s">
        <v>201</v>
      </c>
    </row>
    <row r="42" spans="1:12" ht="66" customHeight="1">
      <c r="A42" s="9" t="s">
        <v>212</v>
      </c>
      <c r="B42" s="9" t="s">
        <v>213</v>
      </c>
      <c r="C42" s="9" t="s">
        <v>52</v>
      </c>
      <c r="D42" s="11" t="s">
        <v>113</v>
      </c>
      <c r="E42" s="9" t="s">
        <v>108</v>
      </c>
      <c r="F42" s="9" t="s">
        <v>214</v>
      </c>
      <c r="G42" s="9" t="s">
        <v>19</v>
      </c>
      <c r="H42" s="9" t="s">
        <v>79</v>
      </c>
      <c r="I42" s="9" t="s">
        <v>43</v>
      </c>
      <c r="J42" s="9" t="s">
        <v>22</v>
      </c>
      <c r="K42" s="9" t="s">
        <v>23</v>
      </c>
      <c r="L42" s="9" t="s">
        <v>201</v>
      </c>
    </row>
    <row r="43" spans="1:12" ht="78" customHeight="1">
      <c r="A43" s="15" t="s">
        <v>318</v>
      </c>
      <c r="B43" s="15" t="s">
        <v>319</v>
      </c>
      <c r="C43" s="15" t="s">
        <v>317</v>
      </c>
      <c r="D43" s="16" t="s">
        <v>320</v>
      </c>
      <c r="E43" s="15" t="s">
        <v>114</v>
      </c>
      <c r="F43" s="15" t="s">
        <v>321</v>
      </c>
      <c r="G43" s="15" t="s">
        <v>19</v>
      </c>
      <c r="H43" s="15" t="s">
        <v>20</v>
      </c>
      <c r="I43" s="15" t="s">
        <v>322</v>
      </c>
      <c r="J43" s="15" t="s">
        <v>22</v>
      </c>
      <c r="K43" s="15" t="s">
        <v>74</v>
      </c>
      <c r="L43" s="15" t="s">
        <v>323</v>
      </c>
    </row>
    <row r="44" spans="1:12" ht="78" customHeight="1">
      <c r="A44" s="15" t="s">
        <v>324</v>
      </c>
      <c r="B44" s="15" t="s">
        <v>325</v>
      </c>
      <c r="C44" s="15" t="s">
        <v>317</v>
      </c>
      <c r="D44" s="16" t="s">
        <v>320</v>
      </c>
      <c r="E44" s="15" t="s">
        <v>326</v>
      </c>
      <c r="F44" s="15" t="s">
        <v>327</v>
      </c>
      <c r="G44" s="15" t="s">
        <v>19</v>
      </c>
      <c r="H44" s="15" t="s">
        <v>79</v>
      </c>
      <c r="I44" s="15" t="s">
        <v>328</v>
      </c>
      <c r="J44" s="15" t="s">
        <v>29</v>
      </c>
      <c r="K44" s="15" t="s">
        <v>74</v>
      </c>
      <c r="L44" s="15" t="s">
        <v>329</v>
      </c>
    </row>
    <row r="45" spans="1:12" ht="78" customHeight="1">
      <c r="A45" s="15" t="s">
        <v>330</v>
      </c>
      <c r="B45" s="15" t="s">
        <v>331</v>
      </c>
      <c r="C45" s="15" t="s">
        <v>317</v>
      </c>
      <c r="D45" s="16" t="s">
        <v>320</v>
      </c>
      <c r="E45" s="15" t="s">
        <v>326</v>
      </c>
      <c r="F45" s="15" t="s">
        <v>332</v>
      </c>
      <c r="G45" s="15" t="s">
        <v>19</v>
      </c>
      <c r="H45" s="15" t="s">
        <v>49</v>
      </c>
      <c r="I45" s="15" t="s">
        <v>333</v>
      </c>
      <c r="J45" s="15" t="s">
        <v>29</v>
      </c>
      <c r="K45" s="15" t="s">
        <v>74</v>
      </c>
      <c r="L45" s="15" t="s">
        <v>334</v>
      </c>
    </row>
    <row r="46" spans="1:12" ht="78" customHeight="1">
      <c r="A46" s="15" t="s">
        <v>335</v>
      </c>
      <c r="B46" s="15" t="s">
        <v>336</v>
      </c>
      <c r="C46" s="15" t="s">
        <v>317</v>
      </c>
      <c r="D46" s="16" t="s">
        <v>320</v>
      </c>
      <c r="E46" s="15" t="s">
        <v>326</v>
      </c>
      <c r="F46" s="15" t="s">
        <v>337</v>
      </c>
      <c r="G46" s="15" t="s">
        <v>19</v>
      </c>
      <c r="H46" s="15" t="s">
        <v>79</v>
      </c>
      <c r="I46" s="15" t="s">
        <v>338</v>
      </c>
      <c r="J46" s="15" t="s">
        <v>22</v>
      </c>
      <c r="K46" s="15" t="s">
        <v>74</v>
      </c>
      <c r="L46" s="15" t="s">
        <v>339</v>
      </c>
    </row>
    <row r="47" spans="1:12" ht="78" customHeight="1">
      <c r="A47" s="15" t="s">
        <v>340</v>
      </c>
      <c r="B47" s="15" t="s">
        <v>341</v>
      </c>
      <c r="C47" s="15" t="s">
        <v>317</v>
      </c>
      <c r="D47" s="16" t="s">
        <v>320</v>
      </c>
      <c r="E47" s="15" t="s">
        <v>342</v>
      </c>
      <c r="F47" s="15" t="s">
        <v>343</v>
      </c>
      <c r="G47" s="15" t="s">
        <v>19</v>
      </c>
      <c r="H47" s="15" t="s">
        <v>79</v>
      </c>
      <c r="I47" s="15" t="s">
        <v>344</v>
      </c>
      <c r="J47" s="15" t="s">
        <v>66</v>
      </c>
      <c r="K47" s="15" t="s">
        <v>74</v>
      </c>
      <c r="L47" s="15" t="s">
        <v>345</v>
      </c>
    </row>
    <row r="48" spans="1:12" ht="78" customHeight="1">
      <c r="A48" s="15" t="s">
        <v>346</v>
      </c>
      <c r="B48" s="15" t="s">
        <v>347</v>
      </c>
      <c r="C48" s="15" t="s">
        <v>317</v>
      </c>
      <c r="D48" s="16" t="s">
        <v>320</v>
      </c>
      <c r="E48" s="15" t="s">
        <v>59</v>
      </c>
      <c r="F48" s="15" t="s">
        <v>348</v>
      </c>
      <c r="G48" s="15" t="s">
        <v>19</v>
      </c>
      <c r="H48" s="15" t="s">
        <v>79</v>
      </c>
      <c r="I48" s="15" t="s">
        <v>349</v>
      </c>
      <c r="J48" s="15" t="s">
        <v>66</v>
      </c>
      <c r="K48" s="15" t="s">
        <v>74</v>
      </c>
      <c r="L48" s="15" t="s">
        <v>350</v>
      </c>
    </row>
    <row r="49" spans="1:12" ht="78" customHeight="1">
      <c r="A49" s="15" t="s">
        <v>351</v>
      </c>
      <c r="B49" s="15" t="s">
        <v>352</v>
      </c>
      <c r="C49" s="15" t="s">
        <v>317</v>
      </c>
      <c r="D49" s="16" t="s">
        <v>320</v>
      </c>
      <c r="E49" s="15" t="s">
        <v>353</v>
      </c>
      <c r="F49" s="15" t="s">
        <v>354</v>
      </c>
      <c r="G49" s="15" t="s">
        <v>19</v>
      </c>
      <c r="H49" s="15" t="s">
        <v>79</v>
      </c>
      <c r="I49" s="15" t="s">
        <v>355</v>
      </c>
      <c r="J49" s="15" t="s">
        <v>22</v>
      </c>
      <c r="K49" s="15" t="s">
        <v>74</v>
      </c>
      <c r="L49" s="15" t="s">
        <v>356</v>
      </c>
    </row>
    <row r="50" spans="1:12" ht="78" customHeight="1">
      <c r="A50" s="15" t="s">
        <v>357</v>
      </c>
      <c r="B50" s="15" t="s">
        <v>358</v>
      </c>
      <c r="C50" s="15" t="s">
        <v>317</v>
      </c>
      <c r="D50" s="16" t="s">
        <v>320</v>
      </c>
      <c r="E50" s="15" t="s">
        <v>108</v>
      </c>
      <c r="F50" s="15" t="s">
        <v>359</v>
      </c>
      <c r="G50" s="15" t="s">
        <v>19</v>
      </c>
      <c r="H50" s="15" t="s">
        <v>49</v>
      </c>
      <c r="I50" s="15" t="s">
        <v>360</v>
      </c>
      <c r="J50" s="15" t="s">
        <v>66</v>
      </c>
      <c r="K50" s="15" t="s">
        <v>74</v>
      </c>
      <c r="L50" s="15" t="s">
        <v>361</v>
      </c>
    </row>
  </sheetData>
  <mergeCells count="2">
    <mergeCell ref="A1:L1"/>
    <mergeCell ref="N13:O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5"/>
  <sheetViews>
    <sheetView topLeftCell="B1" workbookViewId="0">
      <selection activeCell="C6" sqref="C6"/>
    </sheetView>
  </sheetViews>
  <sheetFormatPr baseColWidth="10" defaultColWidth="8.83203125" defaultRowHeight="15"/>
  <cols>
    <col min="1" max="1" width="10" customWidth="1"/>
    <col min="2" max="2" width="24" customWidth="1"/>
    <col min="3" max="3" width="25" customWidth="1"/>
    <col min="4" max="4" width="52" customWidth="1"/>
    <col min="5" max="5" width="43" customWidth="1"/>
    <col min="6" max="6" width="12" customWidth="1"/>
    <col min="7" max="7" width="50" customWidth="1"/>
    <col min="8" max="8" width="24" customWidth="1"/>
    <col min="9" max="9" width="44" customWidth="1"/>
  </cols>
  <sheetData>
    <row r="1" spans="1:9" ht="30" customHeight="1">
      <c r="A1" s="12" t="s">
        <v>368</v>
      </c>
      <c r="B1" s="12"/>
      <c r="C1" s="12"/>
      <c r="D1" s="12"/>
      <c r="E1" s="12"/>
      <c r="F1" s="12"/>
      <c r="G1" s="12"/>
      <c r="H1" s="12"/>
      <c r="I1" s="12"/>
    </row>
    <row r="2" spans="1:9">
      <c r="A2" s="4" t="s">
        <v>215</v>
      </c>
      <c r="B2" s="4" t="s">
        <v>216</v>
      </c>
      <c r="C2" s="4" t="s">
        <v>217</v>
      </c>
      <c r="D2" s="4" t="s">
        <v>218</v>
      </c>
      <c r="E2" s="4" t="s">
        <v>219</v>
      </c>
      <c r="F2" s="4" t="s">
        <v>8</v>
      </c>
      <c r="G2" s="4" t="s">
        <v>9</v>
      </c>
      <c r="H2" s="4" t="s">
        <v>11</v>
      </c>
      <c r="I2" s="4" t="s">
        <v>12</v>
      </c>
    </row>
    <row r="3" spans="1:9" ht="38" customHeight="1">
      <c r="A3" s="5" t="s">
        <v>220</v>
      </c>
      <c r="B3" s="5" t="s">
        <v>221</v>
      </c>
      <c r="C3" s="5" t="s">
        <v>222</v>
      </c>
      <c r="D3" s="6" t="s">
        <v>223</v>
      </c>
      <c r="E3" s="5" t="s">
        <v>224</v>
      </c>
      <c r="F3" s="5" t="s">
        <v>79</v>
      </c>
      <c r="G3" s="5" t="s">
        <v>225</v>
      </c>
      <c r="H3" s="5" t="s">
        <v>226</v>
      </c>
      <c r="I3" s="5" t="s">
        <v>227</v>
      </c>
    </row>
    <row r="4" spans="1:9" ht="100" customHeight="1">
      <c r="A4" s="5" t="s">
        <v>228</v>
      </c>
      <c r="B4" s="5" t="s">
        <v>229</v>
      </c>
      <c r="C4" s="5" t="s">
        <v>230</v>
      </c>
      <c r="D4" s="6" t="s">
        <v>231</v>
      </c>
      <c r="E4" s="5" t="s">
        <v>232</v>
      </c>
      <c r="F4" s="5" t="s">
        <v>79</v>
      </c>
      <c r="G4" s="5" t="s">
        <v>233</v>
      </c>
      <c r="H4" s="5" t="s">
        <v>226</v>
      </c>
      <c r="I4" s="5" t="s">
        <v>234</v>
      </c>
    </row>
    <row r="5" spans="1:9" ht="100" customHeight="1">
      <c r="A5" s="5" t="s">
        <v>235</v>
      </c>
      <c r="B5" s="5" t="s">
        <v>229</v>
      </c>
      <c r="C5" s="5" t="s">
        <v>236</v>
      </c>
      <c r="D5" s="6" t="s">
        <v>237</v>
      </c>
      <c r="E5" s="5" t="s">
        <v>238</v>
      </c>
      <c r="F5" s="5" t="s">
        <v>49</v>
      </c>
      <c r="G5" s="5" t="s">
        <v>239</v>
      </c>
      <c r="H5" s="5" t="s">
        <v>226</v>
      </c>
      <c r="I5" s="5" t="s">
        <v>240</v>
      </c>
    </row>
    <row r="6" spans="1:9" ht="100" customHeight="1">
      <c r="A6" s="5" t="s">
        <v>241</v>
      </c>
      <c r="B6" s="5" t="s">
        <v>229</v>
      </c>
      <c r="C6" s="5" t="s">
        <v>242</v>
      </c>
      <c r="D6" s="6" t="s">
        <v>243</v>
      </c>
      <c r="E6" s="5" t="s">
        <v>244</v>
      </c>
      <c r="F6" s="5" t="s">
        <v>79</v>
      </c>
      <c r="G6" s="5" t="s">
        <v>245</v>
      </c>
      <c r="H6" s="5" t="s">
        <v>226</v>
      </c>
      <c r="I6" s="5" t="s">
        <v>246</v>
      </c>
    </row>
    <row r="7" spans="1:9" ht="100" customHeight="1">
      <c r="A7" s="5" t="s">
        <v>247</v>
      </c>
      <c r="B7" s="5" t="s">
        <v>221</v>
      </c>
      <c r="C7" s="5" t="s">
        <v>248</v>
      </c>
      <c r="D7" s="6" t="s">
        <v>249</v>
      </c>
      <c r="E7" s="5" t="s">
        <v>250</v>
      </c>
      <c r="F7" s="5" t="s">
        <v>79</v>
      </c>
      <c r="G7" s="5" t="s">
        <v>251</v>
      </c>
      <c r="H7" s="5" t="s">
        <v>226</v>
      </c>
      <c r="I7" s="5" t="s">
        <v>252</v>
      </c>
    </row>
    <row r="8" spans="1:9" ht="100" customHeight="1">
      <c r="A8" s="5" t="s">
        <v>253</v>
      </c>
      <c r="B8" s="5" t="s">
        <v>229</v>
      </c>
      <c r="C8" s="5" t="s">
        <v>254</v>
      </c>
      <c r="D8" s="6" t="s">
        <v>255</v>
      </c>
      <c r="E8" s="5" t="s">
        <v>256</v>
      </c>
      <c r="F8" s="5" t="s">
        <v>79</v>
      </c>
      <c r="G8" s="5" t="s">
        <v>257</v>
      </c>
      <c r="H8" s="5" t="s">
        <v>226</v>
      </c>
      <c r="I8" s="5" t="s">
        <v>258</v>
      </c>
    </row>
    <row r="9" spans="1:9" ht="100" customHeight="1">
      <c r="A9" s="5" t="s">
        <v>259</v>
      </c>
      <c r="B9" s="5" t="s">
        <v>229</v>
      </c>
      <c r="C9" s="5" t="s">
        <v>260</v>
      </c>
      <c r="D9" s="6" t="s">
        <v>261</v>
      </c>
      <c r="E9" s="5" t="s">
        <v>262</v>
      </c>
      <c r="F9" s="5" t="s">
        <v>49</v>
      </c>
      <c r="G9" s="5" t="s">
        <v>263</v>
      </c>
      <c r="H9" s="5" t="s">
        <v>226</v>
      </c>
      <c r="I9" s="5" t="s">
        <v>264</v>
      </c>
    </row>
    <row r="10" spans="1:9" ht="100" customHeight="1">
      <c r="A10" s="5" t="s">
        <v>265</v>
      </c>
      <c r="B10" s="5" t="s">
        <v>266</v>
      </c>
      <c r="C10" s="5" t="s">
        <v>267</v>
      </c>
      <c r="D10" s="6" t="s">
        <v>268</v>
      </c>
      <c r="E10" s="5" t="s">
        <v>269</v>
      </c>
      <c r="F10" s="5" t="s">
        <v>20</v>
      </c>
      <c r="G10" s="5" t="s">
        <v>270</v>
      </c>
      <c r="H10" s="5" t="s">
        <v>226</v>
      </c>
      <c r="I10" s="5" t="s">
        <v>271</v>
      </c>
    </row>
    <row r="11" spans="1:9" ht="100" customHeight="1">
      <c r="A11" s="5" t="s">
        <v>272</v>
      </c>
      <c r="B11" s="5" t="s">
        <v>273</v>
      </c>
      <c r="C11" s="5" t="s">
        <v>274</v>
      </c>
      <c r="D11" s="6" t="s">
        <v>275</v>
      </c>
      <c r="E11" s="5" t="s">
        <v>276</v>
      </c>
      <c r="F11" s="5" t="s">
        <v>20</v>
      </c>
      <c r="G11" s="5" t="s">
        <v>277</v>
      </c>
      <c r="H11" s="5" t="s">
        <v>226</v>
      </c>
      <c r="I11" s="5" t="s">
        <v>278</v>
      </c>
    </row>
    <row r="12" spans="1:9" ht="100" customHeight="1">
      <c r="A12" s="5" t="s">
        <v>279</v>
      </c>
      <c r="B12" s="5" t="s">
        <v>229</v>
      </c>
      <c r="C12" s="5" t="s">
        <v>280</v>
      </c>
      <c r="D12" s="6" t="s">
        <v>281</v>
      </c>
      <c r="E12" s="5" t="s">
        <v>282</v>
      </c>
      <c r="F12" s="5" t="s">
        <v>20</v>
      </c>
      <c r="G12" s="5" t="s">
        <v>283</v>
      </c>
      <c r="H12" s="5" t="s">
        <v>226</v>
      </c>
      <c r="I12" s="5" t="s">
        <v>284</v>
      </c>
    </row>
    <row r="13" spans="1:9" ht="100" customHeight="1">
      <c r="A13" s="5" t="s">
        <v>285</v>
      </c>
      <c r="B13" s="5" t="s">
        <v>286</v>
      </c>
      <c r="C13" s="5" t="s">
        <v>287</v>
      </c>
      <c r="D13" s="6" t="s">
        <v>288</v>
      </c>
      <c r="E13" s="5" t="s">
        <v>289</v>
      </c>
      <c r="F13" s="5" t="s">
        <v>49</v>
      </c>
      <c r="G13" s="5" t="s">
        <v>290</v>
      </c>
      <c r="H13" s="5" t="s">
        <v>226</v>
      </c>
      <c r="I13" s="5" t="s">
        <v>291</v>
      </c>
    </row>
    <row r="14" spans="1:9" ht="100" customHeight="1">
      <c r="A14" s="5" t="s">
        <v>292</v>
      </c>
      <c r="B14" s="5" t="s">
        <v>273</v>
      </c>
      <c r="C14" s="5" t="s">
        <v>293</v>
      </c>
      <c r="D14" s="6" t="s">
        <v>294</v>
      </c>
      <c r="E14" s="5" t="s">
        <v>295</v>
      </c>
      <c r="F14" s="5" t="s">
        <v>79</v>
      </c>
      <c r="G14" s="5" t="s">
        <v>296</v>
      </c>
      <c r="H14" s="5" t="s">
        <v>297</v>
      </c>
      <c r="I14" s="7" t="s">
        <v>298</v>
      </c>
    </row>
    <row r="15" spans="1:9" ht="100" customHeight="1"/>
  </sheetData>
  <mergeCells count="1">
    <mergeCell ref="A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6"/>
  <sheetViews>
    <sheetView workbookViewId="0">
      <pane ySplit="3" topLeftCell="A5" activePane="bottomLeft" state="frozen"/>
      <selection pane="bottomLeft" activeCell="B11" sqref="B11"/>
    </sheetView>
  </sheetViews>
  <sheetFormatPr baseColWidth="10" defaultColWidth="8.83203125" defaultRowHeight="15"/>
  <cols>
    <col min="1" max="1" width="28" customWidth="1"/>
    <col min="2" max="2" width="86" customWidth="1"/>
  </cols>
  <sheetData>
    <row r="1" spans="1:2" ht="31" customHeight="1">
      <c r="A1" s="12" t="s">
        <v>299</v>
      </c>
      <c r="B1" s="12"/>
    </row>
    <row r="3" spans="1:2" ht="34" customHeight="1">
      <c r="A3" s="4" t="s">
        <v>300</v>
      </c>
      <c r="B3" s="4" t="s">
        <v>301</v>
      </c>
    </row>
    <row r="4" spans="1:2" ht="49" customHeight="1">
      <c r="A4" s="5" t="s">
        <v>302</v>
      </c>
      <c r="B4" s="5" t="s">
        <v>362</v>
      </c>
    </row>
    <row r="5" spans="1:2" ht="49" customHeight="1">
      <c r="A5" s="5" t="s">
        <v>4</v>
      </c>
      <c r="B5" s="5" t="s">
        <v>363</v>
      </c>
    </row>
    <row r="6" spans="1:2" ht="49" customHeight="1">
      <c r="A6" s="5" t="s">
        <v>303</v>
      </c>
      <c r="B6" s="5" t="s">
        <v>16</v>
      </c>
    </row>
    <row r="7" spans="1:2" ht="49" customHeight="1">
      <c r="A7" s="5" t="s">
        <v>304</v>
      </c>
      <c r="B7" s="5" t="s">
        <v>113</v>
      </c>
    </row>
    <row r="8" spans="1:2" ht="49" customHeight="1">
      <c r="A8" s="5" t="s">
        <v>5</v>
      </c>
      <c r="B8" s="5" t="s">
        <v>305</v>
      </c>
    </row>
    <row r="9" spans="1:2" ht="49" customHeight="1">
      <c r="A9" s="5" t="s">
        <v>306</v>
      </c>
      <c r="B9" s="5" t="s">
        <v>307</v>
      </c>
    </row>
    <row r="10" spans="1:2" ht="49" customHeight="1">
      <c r="A10" s="5" t="s">
        <v>308</v>
      </c>
      <c r="B10" s="5" t="s">
        <v>364</v>
      </c>
    </row>
    <row r="11" spans="1:2" ht="49" customHeight="1">
      <c r="A11" s="5" t="s">
        <v>309</v>
      </c>
      <c r="B11" s="5" t="s">
        <v>310</v>
      </c>
    </row>
    <row r="12" spans="1:2" ht="49" customHeight="1">
      <c r="A12" s="5" t="s">
        <v>311</v>
      </c>
      <c r="B12" s="5" t="s">
        <v>312</v>
      </c>
    </row>
    <row r="13" spans="1:2" ht="49" customHeight="1">
      <c r="A13" s="5" t="s">
        <v>313</v>
      </c>
      <c r="B13" s="5" t="s">
        <v>314</v>
      </c>
    </row>
    <row r="14" spans="1:2" ht="49" customHeight="1">
      <c r="A14" s="5" t="s">
        <v>315</v>
      </c>
      <c r="B14" s="5" t="s">
        <v>316</v>
      </c>
    </row>
    <row r="15" spans="1:2" ht="32" customHeight="1">
      <c r="A15" s="17" t="s">
        <v>365</v>
      </c>
      <c r="B15" s="17" t="s">
        <v>320</v>
      </c>
    </row>
    <row r="16" spans="1:2" ht="32" customHeight="1">
      <c r="A16" s="17" t="s">
        <v>366</v>
      </c>
      <c r="B16" s="17" t="s">
        <v>367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Product Backlog</vt:lpstr>
      <vt:lpstr>Historias de Usuario</vt:lpstr>
      <vt:lpstr>Guía de uso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FRANCHESKA . CISTERNA PORRAS</cp:lastModifiedBy>
  <dcterms:modified xsi:type="dcterms:W3CDTF">2026-10-13T03:15:51Z</dcterms:modified>
</cp:coreProperties>
</file>