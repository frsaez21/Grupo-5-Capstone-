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francheskacisterna/Desktop/Capstone/Fase 2/Entregables GIT/"/>
    </mc:Choice>
  </mc:AlternateContent>
  <xr:revisionPtr revIDLastSave="0" documentId="13_ncr:1_{8E8E70F2-AD72-184D-90A5-1506763F6CD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atriz RN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L2" i="1"/>
</calcChain>
</file>

<file path=xl/sharedStrings.xml><?xml version="1.0" encoding="utf-8"?>
<sst xmlns="http://schemas.openxmlformats.org/spreadsheetml/2006/main" count="169" uniqueCount="126">
  <si>
    <t>Matriz de Requisitos No Funcionales (RNF) – LBWUS</t>
  </si>
  <si>
    <t>Resumen</t>
  </si>
  <si>
    <t>Alta prioridad</t>
  </si>
  <si>
    <t>ID</t>
  </si>
  <si>
    <t>Categoría</t>
  </si>
  <si>
    <t>Requisito no funcional</t>
  </si>
  <si>
    <t>Criterio de aceptación / Métrica</t>
  </si>
  <si>
    <t>Prioridad</t>
  </si>
  <si>
    <t>Método de validación</t>
  </si>
  <si>
    <t>Responsable</t>
  </si>
  <si>
    <t>Estado</t>
  </si>
  <si>
    <t>Evidencia / Observaciones</t>
  </si>
  <si>
    <t>En implementación</t>
  </si>
  <si>
    <t>RNF-01</t>
  </si>
  <si>
    <t>Rendimiento</t>
  </si>
  <si>
    <t>Las páginas principales de LBWUS deberán cargar de forma ágil bajo condiciones normales de uso.</t>
  </si>
  <si>
    <t>Tiempo de carga ≤ 3 segundos en Inicio, Login, Registro y búsqueda, medido en conexión estable.</t>
  </si>
  <si>
    <t>Alta</t>
  </si>
  <si>
    <t>Prueba de rendimiento en navegador</t>
  </si>
  <si>
    <t>Franco Sáez / Benjamín Nicovani</t>
  </si>
  <si>
    <t>Pendiente de validación</t>
  </si>
  <si>
    <t>Medir en ambiente desplegado y registrar tiempos.</t>
  </si>
  <si>
    <t>Implementados</t>
  </si>
  <si>
    <t>RNF-02</t>
  </si>
  <si>
    <t>Las operaciones frecuentes de autenticación, búsqueda y filtrado deberán responder sin demoras perceptibles.</t>
  </si>
  <si>
    <t>Respuesta ≤ 2 segundos para login y consultas habituales con un volumen de prueba controlado.</t>
  </si>
  <si>
    <t>Prueba funcional y medición de tiempos</t>
  </si>
  <si>
    <t>Franco Sáez</t>
  </si>
  <si>
    <t>Validar una vez estabilizado el backend y la persistencia.</t>
  </si>
  <si>
    <t>Pendientes de validación</t>
  </si>
  <si>
    <t>RNF-03</t>
  </si>
  <si>
    <t>Seguridad</t>
  </si>
  <si>
    <t>Las contraseñas de los usuarios no deberán almacenarse en texto plano.</t>
  </si>
  <si>
    <t>100% de las cuentas utilizan el mecanismo seguro de autenticación y hashing provisto por Django.</t>
  </si>
  <si>
    <t>Revisión técnica de autenticación y base de datos</t>
  </si>
  <si>
    <t>Relacionado con la centralización de autenticación del proyecto.</t>
  </si>
  <si>
    <t>RNF-04</t>
  </si>
  <si>
    <t>El acceso a funciones y portales deberá restringirse según el rol del usuario.</t>
  </si>
  <si>
    <t>Un usuario no autorizado no puede acceder a vistas o acciones de otro rol; pruebas negativas deben ser rechazadas.</t>
  </si>
  <si>
    <t>Pruebas de autorización por rol</t>
  </si>
  <si>
    <t>Franco Sáez / Equipo</t>
  </si>
  <si>
    <t>Validar estudiante, profesional y administrador.</t>
  </si>
  <si>
    <t>Nota: los criterios numéricos de rendimiento y usabilidad son metas de validación propuestas para el proyecto. Deben ajustarse si el equipo o docente define umbrales distintos.</t>
  </si>
  <si>
    <t>RNF-05</t>
  </si>
  <si>
    <t>Las claves, secretos y credenciales de configuración no deberán quedar expuestos en el código fuente.</t>
  </si>
  <si>
    <t>SECRET_KEY y otras credenciales sensibles se gestionan mediante variables de entorno y no aparecen en el repositorio.</t>
  </si>
  <si>
    <t>Revisión de repositorio y configuración</t>
  </si>
  <si>
    <t>Mantener .env fuera de Git y revisar variables de Railway.</t>
  </si>
  <si>
    <t>RNF-06</t>
  </si>
  <si>
    <t>Privacidad</t>
  </si>
  <si>
    <t>LBWUS deberá solicitar y tratar únicamente los datos personales necesarios para sus funcionalidades.</t>
  </si>
  <si>
    <t>Los formularios y modelos se revisan para justificar cada dato solicitado y evitar campos personales innecesarios.</t>
  </si>
  <si>
    <t>Revisión de formularios, modelos y flujos</t>
  </si>
  <si>
    <t>Francheska Cisterna / Equipo</t>
  </si>
  <si>
    <t>El proyecto ya considera privacidad y protección de datos desde el diseño.</t>
  </si>
  <si>
    <t>RNF-07</t>
  </si>
  <si>
    <t>Los usuarios deberán ser informados de las condiciones de uso y tratamiento de datos antes de completar su registro.</t>
  </si>
  <si>
    <t>El registro exige aceptación explícita de términos y condiciones antes de crear la cuenta.</t>
  </si>
  <si>
    <t>Prueba funcional del flujo de registro</t>
  </si>
  <si>
    <t>Francheska Cisterna / Benjamín Nicovani</t>
  </si>
  <si>
    <t>Guardar evidencia del consentimiento en el flujo definido.</t>
  </si>
  <si>
    <t>RNF-08</t>
  </si>
  <si>
    <t>Disponibilidad</t>
  </si>
  <si>
    <t>La aplicación deberá permanecer accesible en el ambiente desplegado durante las ventanas de evaluación y pruebas.</t>
  </si>
  <si>
    <t>0 caídas no programadas durante cada ventana de prueba acordada; cualquier indisponibilidad debe quedar registrada.</t>
  </si>
  <si>
    <t>Media</t>
  </si>
  <si>
    <t>Monitoreo y prueba de disponibilidad</t>
  </si>
  <si>
    <t>Equipo</t>
  </si>
  <si>
    <t>Validar sobre el despliegue de Railway.</t>
  </si>
  <si>
    <t>RNF-09</t>
  </si>
  <si>
    <t>Usabilidad</t>
  </si>
  <si>
    <t>Los usuarios deberán poder completar los flujos principales de la plataforma sin asistencia técnica.</t>
  </si>
  <si>
    <t>Al menos 80% de los usuarios de prueba completa registro/login, búsqueda y navegación principal sin ayuda.</t>
  </si>
  <si>
    <t>Prueba de usabilidad con usuarios</t>
  </si>
  <si>
    <t>Benjamín Nicovani / Equipo</t>
  </si>
  <si>
    <t>Registrar resultados, incidencias y mejoras.</t>
  </si>
  <si>
    <t>RNF-10</t>
  </si>
  <si>
    <t>Accesibilidad</t>
  </si>
  <si>
    <t>La interfaz deberá mantener legibilidad y navegación básica accesible.</t>
  </si>
  <si>
    <t>Formularios con etiquetas visibles, contraste legible, foco de teclado identificable e imágenes informativas con texto alternativo cuando corresponda.</t>
  </si>
  <si>
    <t>Checklist de accesibilidad y revisión manual</t>
  </si>
  <si>
    <t>Benjamín Nicovani</t>
  </si>
  <si>
    <t>No implica certificación completa WCAG; se validan criterios básicos definidos por el equipo.</t>
  </si>
  <si>
    <t>RNF-11</t>
  </si>
  <si>
    <t>Compatibilidad</t>
  </si>
  <si>
    <t>LBWUS deberá funcionar correctamente en navegadores web de uso común.</t>
  </si>
  <si>
    <t>Flujos principales operativos en versiones actuales de Chrome, Edge y Firefox sin errores críticos.</t>
  </si>
  <si>
    <t>Pruebas cruzadas de navegador</t>
  </si>
  <si>
    <t>Registrar navegador, versión y resultado.</t>
  </si>
  <si>
    <t>RNF-12</t>
  </si>
  <si>
    <t>Responsividad</t>
  </si>
  <si>
    <t>La interfaz deberá adaptarse a distintos tamaños de pantalla.</t>
  </si>
  <si>
    <t>Sin desbordamiento horizontal ni pérdida de funciones principales en anchos de referencia 360 px, 768 px y 1366 px.</t>
  </si>
  <si>
    <t>Prueba responsive y capturas</t>
  </si>
  <si>
    <t>Validar especialmente Home, registro, perfiles y portales.</t>
  </si>
  <si>
    <t>RNF-13</t>
  </si>
  <si>
    <t>Mantenibilidad</t>
  </si>
  <si>
    <t>El código fuente deberá mantenerse versionado y con trazabilidad de cambios.</t>
  </si>
  <si>
    <t>Los cambios relevantes quedan registrados en Git/GitHub mediante commits y ramas de trabajo identificables.</t>
  </si>
  <si>
    <t>Revisión del repositorio GitHub</t>
  </si>
  <si>
    <t>Implementado</t>
  </si>
  <si>
    <t>El repositorio centraliza ramas, commits e integraciones del proyecto.</t>
  </si>
  <si>
    <t>RNF-14</t>
  </si>
  <si>
    <t>Integridad de datos</t>
  </si>
  <si>
    <t>La plataforma deberá evitar duplicidad e inconsistencias en datos identificadores de usuarios.</t>
  </si>
  <si>
    <t>Campos definidos como únicos, como correo y RUT cuando corresponda, rechazan duplicados y mantienen relaciones válidas.</t>
  </si>
  <si>
    <t>Pruebas de modelo y validación de formularios</t>
  </si>
  <si>
    <t>Validar contra los modelos Django actuales.</t>
  </si>
  <si>
    <t>RNF-15</t>
  </si>
  <si>
    <t>Escalabilidad</t>
  </si>
  <si>
    <t>La estructura de la solución deberá permitir incorporar nuevas funcionalidades y tipos de información sin rediseñar completamente el sistema.</t>
  </si>
  <si>
    <t>Nuevas entidades, campos o módulos pueden incorporarse manteniendo la separación por componentes y relaciones existentes.</t>
  </si>
  <si>
    <t>Revisión técnica de arquitectura y modelos</t>
  </si>
  <si>
    <t>Evaluar durante la actualización del modelo de datos y MER.</t>
  </si>
  <si>
    <t>RNF-16</t>
  </si>
  <si>
    <t>Confiabilidad</t>
  </si>
  <si>
    <t>Los errores de la aplicación deberán gestionarse sin exponer información técnica sensible al usuario final.</t>
  </si>
  <si>
    <t>En producción no se muestran trazas completas ni secretos; los errores relevantes quedan disponibles para diagnóstico técnico.</t>
  </si>
  <si>
    <t>Pruebas de manejo de errores y revisión de configuración</t>
  </si>
  <si>
    <t>Verificar DEBUG desactivado y manejo de errores en despliegue.</t>
  </si>
  <si>
    <t>RNF-17</t>
  </si>
  <si>
    <t>Recuperación</t>
  </si>
  <si>
    <t>Antes de cambios críticos o despliegues se deberá disponer de un mecanismo de respaldo de la información persistente.</t>
  </si>
  <si>
    <t>Existe un respaldo verificable antes de cambios de alto impacto y se documenta el procedimiento básico de restauración.</t>
  </si>
  <si>
    <t>Revisión de respaldo y prueba de restauración</t>
  </si>
  <si>
    <t>Definir mecanismo según la base de datos finalmente utilizada en producción.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</si>
</sst>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i/>
      <sz val="9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19">
    <dxf>
      <font>
        <color rgb="FF404040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NFTable" displayName="RNFTable" ref="A2:I19" totalsRowShown="0" headerRowDxfId="18" headerRowBorderDxfId="17" tableBorderDxfId="16" totalsRowBorderDxfId="15">
  <tableColumns count="9">
    <tableColumn id="1" xr3:uid="{00000000-0010-0000-0000-000001000000}" name="ID" dataDxfId="14"/>
    <tableColumn id="2" xr3:uid="{00000000-0010-0000-0000-000002000000}" name="Categoría" dataDxfId="13"/>
    <tableColumn id="3" xr3:uid="{00000000-0010-0000-0000-000003000000}" name="Requisito no funcional" dataDxfId="12"/>
    <tableColumn id="4" xr3:uid="{00000000-0010-0000-0000-000004000000}" name="Criterio de aceptación / Métrica" dataDxfId="11"/>
    <tableColumn id="5" xr3:uid="{00000000-0010-0000-0000-000005000000}" name="Prioridad" dataDxfId="10"/>
    <tableColumn id="6" xr3:uid="{00000000-0010-0000-0000-000006000000}" name="Método de validación" dataDxfId="9"/>
    <tableColumn id="7" xr3:uid="{00000000-0010-0000-0000-000007000000}" name="Responsable" dataDxfId="8"/>
    <tableColumn id="8" xr3:uid="{00000000-0010-0000-0000-000008000000}" name="Estado" dataDxfId="7"/>
    <tableColumn id="9" xr3:uid="{00000000-0010-0000-0000-000009000000}" name="Evidencia / Observacione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12" workbookViewId="0">
      <selection activeCell="D4" sqref="D4"/>
    </sheetView>
  </sheetViews>
  <sheetFormatPr baseColWidth="10" defaultColWidth="8.83203125" defaultRowHeight="15"/>
  <cols>
    <col min="1" max="1" width="10" customWidth="1"/>
    <col min="2" max="2" width="18" customWidth="1"/>
    <col min="3" max="3" width="38" customWidth="1"/>
    <col min="4" max="4" width="44" customWidth="1"/>
    <col min="5" max="5" width="12" customWidth="1"/>
    <col min="6" max="6" width="28" customWidth="1"/>
    <col min="7" max="7" width="26" customWidth="1"/>
    <col min="8" max="8" width="22" customWidth="1"/>
    <col min="9" max="9" width="40" customWidth="1"/>
    <col min="11" max="11" width="25" customWidth="1"/>
    <col min="12" max="12" width="12" customWidth="1"/>
  </cols>
  <sheetData>
    <row r="1" spans="1:12" ht="37.2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K1" s="14" t="s">
        <v>1</v>
      </c>
      <c r="L1" s="14"/>
    </row>
    <row r="2" spans="1:12">
      <c r="A2" s="4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6" t="s">
        <v>11</v>
      </c>
      <c r="K2" s="2" t="s">
        <v>2</v>
      </c>
      <c r="L2" s="3">
        <f>COUNTIF(E3:E19,"Alta")</f>
        <v>11</v>
      </c>
    </row>
    <row r="3" spans="1:12" ht="56" customHeight="1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9" t="s">
        <v>21</v>
      </c>
      <c r="K3" s="2" t="s">
        <v>12</v>
      </c>
      <c r="L3" s="3">
        <f>COUNTIF(H3:H19,"En implementación")</f>
        <v>6</v>
      </c>
    </row>
    <row r="4" spans="1:12" ht="64" customHeight="1">
      <c r="A4" s="7" t="s">
        <v>23</v>
      </c>
      <c r="B4" s="8" t="s">
        <v>14</v>
      </c>
      <c r="C4" s="8" t="s">
        <v>24</v>
      </c>
      <c r="D4" s="8" t="s">
        <v>25</v>
      </c>
      <c r="E4" s="8" t="s">
        <v>17</v>
      </c>
      <c r="F4" s="8" t="s">
        <v>26</v>
      </c>
      <c r="G4" s="8" t="s">
        <v>27</v>
      </c>
      <c r="H4" s="8" t="s">
        <v>20</v>
      </c>
      <c r="I4" s="9" t="s">
        <v>28</v>
      </c>
      <c r="K4" s="2" t="s">
        <v>22</v>
      </c>
      <c r="L4" s="3">
        <f>COUNTIF(H3:H19,"Implementado")</f>
        <v>1</v>
      </c>
    </row>
    <row r="5" spans="1:12" ht="67" customHeight="1">
      <c r="A5" s="7" t="s">
        <v>30</v>
      </c>
      <c r="B5" s="8" t="s">
        <v>31</v>
      </c>
      <c r="C5" s="8" t="s">
        <v>32</v>
      </c>
      <c r="D5" s="8" t="s">
        <v>33</v>
      </c>
      <c r="E5" s="8" t="s">
        <v>17</v>
      </c>
      <c r="F5" s="8" t="s">
        <v>34</v>
      </c>
      <c r="G5" s="8" t="s">
        <v>27</v>
      </c>
      <c r="H5" s="8" t="s">
        <v>12</v>
      </c>
      <c r="I5" s="9" t="s">
        <v>35</v>
      </c>
      <c r="K5" s="2" t="s">
        <v>29</v>
      </c>
      <c r="L5" s="3">
        <f>COUNTIF(H3:H19,"Pendiente de validación")</f>
        <v>10</v>
      </c>
    </row>
    <row r="6" spans="1:12" ht="73" customHeight="1">
      <c r="A6" s="7" t="s">
        <v>36</v>
      </c>
      <c r="B6" s="8" t="s">
        <v>31</v>
      </c>
      <c r="C6" s="8" t="s">
        <v>37</v>
      </c>
      <c r="D6" s="8" t="s">
        <v>38</v>
      </c>
      <c r="E6" s="8" t="s">
        <v>17</v>
      </c>
      <c r="F6" s="8" t="s">
        <v>39</v>
      </c>
      <c r="G6" s="8" t="s">
        <v>40</v>
      </c>
      <c r="H6" s="8" t="s">
        <v>12</v>
      </c>
      <c r="I6" s="9" t="s">
        <v>41</v>
      </c>
      <c r="K6" s="15" t="s">
        <v>42</v>
      </c>
      <c r="L6" s="15"/>
    </row>
    <row r="7" spans="1:12" ht="73" customHeight="1">
      <c r="A7" s="7" t="s">
        <v>43</v>
      </c>
      <c r="B7" s="8" t="s">
        <v>31</v>
      </c>
      <c r="C7" s="8" t="s">
        <v>44</v>
      </c>
      <c r="D7" s="8" t="s">
        <v>45</v>
      </c>
      <c r="E7" s="8" t="s">
        <v>17</v>
      </c>
      <c r="F7" s="8" t="s">
        <v>46</v>
      </c>
      <c r="G7" s="8" t="s">
        <v>27</v>
      </c>
      <c r="H7" s="8" t="s">
        <v>12</v>
      </c>
      <c r="I7" s="9" t="s">
        <v>47</v>
      </c>
    </row>
    <row r="8" spans="1:12" ht="76" customHeight="1">
      <c r="A8" s="7" t="s">
        <v>48</v>
      </c>
      <c r="B8" s="8" t="s">
        <v>49</v>
      </c>
      <c r="C8" s="8" t="s">
        <v>50</v>
      </c>
      <c r="D8" s="8" t="s">
        <v>51</v>
      </c>
      <c r="E8" s="8" t="s">
        <v>17</v>
      </c>
      <c r="F8" s="8" t="s">
        <v>52</v>
      </c>
      <c r="G8" s="8" t="s">
        <v>53</v>
      </c>
      <c r="H8" s="8" t="s">
        <v>12</v>
      </c>
      <c r="I8" s="9" t="s">
        <v>54</v>
      </c>
      <c r="K8" s="1"/>
      <c r="L8" s="1"/>
    </row>
    <row r="9" spans="1:12" ht="76" customHeight="1">
      <c r="A9" s="7" t="s">
        <v>55</v>
      </c>
      <c r="B9" s="8" t="s">
        <v>49</v>
      </c>
      <c r="C9" s="8" t="s">
        <v>56</v>
      </c>
      <c r="D9" s="8" t="s">
        <v>57</v>
      </c>
      <c r="E9" s="8" t="s">
        <v>17</v>
      </c>
      <c r="F9" s="8" t="s">
        <v>58</v>
      </c>
      <c r="G9" s="8" t="s">
        <v>59</v>
      </c>
      <c r="H9" s="8" t="s">
        <v>20</v>
      </c>
      <c r="I9" s="9" t="s">
        <v>60</v>
      </c>
      <c r="K9" s="1"/>
      <c r="L9" s="1"/>
    </row>
    <row r="10" spans="1:12" ht="76" customHeight="1">
      <c r="A10" s="7" t="s">
        <v>61</v>
      </c>
      <c r="B10" s="8" t="s">
        <v>62</v>
      </c>
      <c r="C10" s="8" t="s">
        <v>63</v>
      </c>
      <c r="D10" s="8" t="s">
        <v>64</v>
      </c>
      <c r="E10" s="8" t="s">
        <v>65</v>
      </c>
      <c r="F10" s="8" t="s">
        <v>66</v>
      </c>
      <c r="G10" s="8" t="s">
        <v>67</v>
      </c>
      <c r="H10" s="8" t="s">
        <v>20</v>
      </c>
      <c r="I10" s="9" t="s">
        <v>68</v>
      </c>
      <c r="K10" s="1"/>
      <c r="L10" s="1"/>
    </row>
    <row r="11" spans="1:12" ht="67" customHeight="1">
      <c r="A11" s="7" t="s">
        <v>69</v>
      </c>
      <c r="B11" s="8" t="s">
        <v>70</v>
      </c>
      <c r="C11" s="8" t="s">
        <v>71</v>
      </c>
      <c r="D11" s="8" t="s">
        <v>72</v>
      </c>
      <c r="E11" s="8" t="s">
        <v>17</v>
      </c>
      <c r="F11" s="8" t="s">
        <v>73</v>
      </c>
      <c r="G11" s="8" t="s">
        <v>74</v>
      </c>
      <c r="H11" s="8" t="s">
        <v>20</v>
      </c>
      <c r="I11" s="9" t="s">
        <v>75</v>
      </c>
    </row>
    <row r="12" spans="1:12" ht="72" customHeight="1">
      <c r="A12" s="7" t="s">
        <v>76</v>
      </c>
      <c r="B12" s="8" t="s">
        <v>77</v>
      </c>
      <c r="C12" s="8" t="s">
        <v>78</v>
      </c>
      <c r="D12" s="8" t="s">
        <v>79</v>
      </c>
      <c r="E12" s="8" t="s">
        <v>65</v>
      </c>
      <c r="F12" s="8" t="s">
        <v>80</v>
      </c>
      <c r="G12" s="8" t="s">
        <v>81</v>
      </c>
      <c r="H12" s="8" t="s">
        <v>20</v>
      </c>
      <c r="I12" s="9" t="s">
        <v>82</v>
      </c>
    </row>
    <row r="13" spans="1:12" ht="66" customHeight="1">
      <c r="A13" s="7" t="s">
        <v>83</v>
      </c>
      <c r="B13" s="8" t="s">
        <v>84</v>
      </c>
      <c r="C13" s="8" t="s">
        <v>85</v>
      </c>
      <c r="D13" s="8" t="s">
        <v>86</v>
      </c>
      <c r="E13" s="8" t="s">
        <v>65</v>
      </c>
      <c r="F13" s="8" t="s">
        <v>87</v>
      </c>
      <c r="G13" s="8" t="s">
        <v>74</v>
      </c>
      <c r="H13" s="8" t="s">
        <v>20</v>
      </c>
      <c r="I13" s="9" t="s">
        <v>88</v>
      </c>
    </row>
    <row r="14" spans="1:12" ht="98.75" customHeight="1">
      <c r="A14" s="7" t="s">
        <v>89</v>
      </c>
      <c r="B14" s="8" t="s">
        <v>90</v>
      </c>
      <c r="C14" s="8" t="s">
        <v>91</v>
      </c>
      <c r="D14" s="8" t="s">
        <v>92</v>
      </c>
      <c r="E14" s="8" t="s">
        <v>17</v>
      </c>
      <c r="F14" s="8" t="s">
        <v>93</v>
      </c>
      <c r="G14" s="8" t="s">
        <v>81</v>
      </c>
      <c r="H14" s="8" t="s">
        <v>12</v>
      </c>
      <c r="I14" s="9" t="s">
        <v>94</v>
      </c>
    </row>
    <row r="15" spans="1:12" ht="71" customHeight="1">
      <c r="A15" s="7" t="s">
        <v>95</v>
      </c>
      <c r="B15" s="8" t="s">
        <v>96</v>
      </c>
      <c r="C15" s="8" t="s">
        <v>97</v>
      </c>
      <c r="D15" s="8" t="s">
        <v>98</v>
      </c>
      <c r="E15" s="8" t="s">
        <v>65</v>
      </c>
      <c r="F15" s="8" t="s">
        <v>99</v>
      </c>
      <c r="G15" s="8" t="s">
        <v>67</v>
      </c>
      <c r="H15" s="8" t="s">
        <v>100</v>
      </c>
      <c r="I15" s="9" t="s">
        <v>101</v>
      </c>
    </row>
    <row r="16" spans="1:12" ht="66" customHeight="1">
      <c r="A16" s="7" t="s">
        <v>102</v>
      </c>
      <c r="B16" s="8" t="s">
        <v>103</v>
      </c>
      <c r="C16" s="8" t="s">
        <v>104</v>
      </c>
      <c r="D16" s="8" t="s">
        <v>105</v>
      </c>
      <c r="E16" s="8" t="s">
        <v>17</v>
      </c>
      <c r="F16" s="8" t="s">
        <v>106</v>
      </c>
      <c r="G16" s="8" t="s">
        <v>27</v>
      </c>
      <c r="H16" s="8" t="s">
        <v>12</v>
      </c>
      <c r="I16" s="9" t="s">
        <v>107</v>
      </c>
    </row>
    <row r="17" spans="1:9" ht="98.75" customHeight="1">
      <c r="A17" s="7" t="s">
        <v>108</v>
      </c>
      <c r="B17" s="8" t="s">
        <v>109</v>
      </c>
      <c r="C17" s="8" t="s">
        <v>110</v>
      </c>
      <c r="D17" s="8" t="s">
        <v>111</v>
      </c>
      <c r="E17" s="8" t="s">
        <v>65</v>
      </c>
      <c r="F17" s="8" t="s">
        <v>112</v>
      </c>
      <c r="G17" s="8" t="s">
        <v>40</v>
      </c>
      <c r="H17" s="8" t="s">
        <v>20</v>
      </c>
      <c r="I17" s="9" t="s">
        <v>113</v>
      </c>
    </row>
    <row r="18" spans="1:9" ht="73" customHeight="1">
      <c r="A18" s="7" t="s">
        <v>114</v>
      </c>
      <c r="B18" s="8" t="s">
        <v>115</v>
      </c>
      <c r="C18" s="8" t="s">
        <v>116</v>
      </c>
      <c r="D18" s="8" t="s">
        <v>117</v>
      </c>
      <c r="E18" s="8" t="s">
        <v>17</v>
      </c>
      <c r="F18" s="8" t="s">
        <v>118</v>
      </c>
      <c r="G18" s="8" t="s">
        <v>27</v>
      </c>
      <c r="H18" s="8" t="s">
        <v>20</v>
      </c>
      <c r="I18" s="9" t="s">
        <v>119</v>
      </c>
    </row>
    <row r="19" spans="1:9" ht="74" customHeight="1">
      <c r="A19" s="10" t="s">
        <v>120</v>
      </c>
      <c r="B19" s="11" t="s">
        <v>121</v>
      </c>
      <c r="C19" s="11" t="s">
        <v>122</v>
      </c>
      <c r="D19" s="11" t="s">
        <v>123</v>
      </c>
      <c r="E19" s="11" t="s">
        <v>65</v>
      </c>
      <c r="F19" s="11" t="s">
        <v>124</v>
      </c>
      <c r="G19" s="11" t="s">
        <v>27</v>
      </c>
      <c r="H19" s="11" t="s">
        <v>20</v>
      </c>
      <c r="I19" s="12" t="s">
        <v>125</v>
      </c>
    </row>
    <row r="20" spans="1:9" ht="98.75" customHeight="1"/>
  </sheetData>
  <mergeCells count="3">
    <mergeCell ref="A1:I1"/>
    <mergeCell ref="K1:L1"/>
    <mergeCell ref="K6:L6"/>
  </mergeCells>
  <conditionalFormatting sqref="E3:E19">
    <cfRule type="expression" dxfId="5" priority="1">
      <formula>E3="Alta"</formula>
    </cfRule>
    <cfRule type="expression" dxfId="4" priority="2">
      <formula>E3="Media"</formula>
    </cfRule>
    <cfRule type="expression" dxfId="3" priority="3">
      <formula>E3="Baja"</formula>
    </cfRule>
  </conditionalFormatting>
  <conditionalFormatting sqref="H3:H19">
    <cfRule type="expression" dxfId="2" priority="4">
      <formula>H3="Implementado"</formula>
    </cfRule>
    <cfRule type="expression" dxfId="1" priority="5">
      <formula>H3="En implementación"</formula>
    </cfRule>
    <cfRule type="expression" dxfId="0" priority="6">
      <formula>H3="Pendiente de validación"</formula>
    </cfRule>
  </conditionalFormatting>
  <dataValidations count="2">
    <dataValidation type="list" sqref="E3:E19" xr:uid="{00000000-0002-0000-0000-000000000000}">
      <formula1>"Alta,Media,Baja"</formula1>
    </dataValidation>
    <dataValidation type="list" sqref="H3:H19" xr:uid="{00000000-0002-0000-0000-000001000000}">
      <formula1>"Pendiente de validación,En implementación,Implementado,No aplica"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FRANCHESKA . CISTERNA PORRAS</cp:lastModifiedBy>
  <dcterms:created xsi:type="dcterms:W3CDTF">2026-10-03T10:17:01Z</dcterms:created>
  <dcterms:modified xsi:type="dcterms:W3CDTF">2026-10-12T17:19:21Z</dcterms:modified>
</cp:coreProperties>
</file>