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francheskacisterna/Desktop/Capstone/Fase 2/Entregables GIT/Listos/"/>
    </mc:Choice>
  </mc:AlternateContent>
  <xr:revisionPtr revIDLastSave="0" documentId="13_ncr:1_{3F4A33A1-E01E-2847-AAD3-0556C2D0BE85}" xr6:coauthVersionLast="47" xr6:coauthVersionMax="47" xr10:uidLastSave="{00000000-0000-0000-0000-000000000000}"/>
  <bookViews>
    <workbookView xWindow="20" yWindow="760" windowWidth="30240" windowHeight="18880" activeTab="2" xr2:uid="{00000000-000D-0000-FFFF-FFFF00000000}"/>
  </bookViews>
  <sheets>
    <sheet name="Resumen" sheetId="1" r:id="rId1"/>
    <sheet name="Sprint 1" sheetId="2" r:id="rId2"/>
    <sheet name="Sprint 2" sheetId="3" r:id="rId3"/>
    <sheet name="Sprint 3" sheetId="4" r:id="rId4"/>
    <sheet name="Sprint 4" sheetId="5" r:id="rId5"/>
    <sheet name="Sprint 5" sheetId="6" r:id="rId6"/>
    <sheet name="Guí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3" i="2"/>
  <c r="J7" i="1"/>
  <c r="J6" i="1"/>
  <c r="I5" i="1"/>
  <c r="J5" i="1" s="1"/>
  <c r="H5" i="1"/>
  <c r="G5" i="1"/>
  <c r="F5" i="1"/>
  <c r="I4" i="1"/>
  <c r="J4" i="1" s="1"/>
  <c r="H4" i="1"/>
  <c r="G4" i="1"/>
  <c r="F4" i="1"/>
  <c r="E4" i="1"/>
  <c r="D4" i="1"/>
  <c r="I3" i="1"/>
  <c r="H3" i="1"/>
  <c r="G3" i="1"/>
  <c r="F3" i="1"/>
  <c r="E3" i="1"/>
  <c r="D3" i="1"/>
  <c r="J3" i="1" l="1"/>
</calcChain>
</file>

<file path=xl/sharedStrings.xml><?xml version="1.0" encoding="utf-8"?>
<sst xmlns="http://schemas.openxmlformats.org/spreadsheetml/2006/main" count="650" uniqueCount="301">
  <si>
    <t>Sprint Backlog General – LBWUS</t>
  </si>
  <si>
    <t>Sprint</t>
  </si>
  <si>
    <t>Estado</t>
  </si>
  <si>
    <t>Items seleccionados</t>
  </si>
  <si>
    <t>Detalle cargado</t>
  </si>
  <si>
    <t>Por hacer</t>
  </si>
  <si>
    <t>En curso</t>
  </si>
  <si>
    <t>En revisión</t>
  </si>
  <si>
    <t>Finalizados</t>
  </si>
  <si>
    <t>% finalizado</t>
  </si>
  <si>
    <t>Sprint 1</t>
  </si>
  <si>
    <t>Finalizado</t>
  </si>
  <si>
    <t>Sprint 2</t>
  </si>
  <si>
    <t>Sprint 3</t>
  </si>
  <si>
    <t>Permitir que estudiantes encuentren profesionales con información real, consulten disponibilidad y realicen inscripciones controladas, validando cupos, accesos y seguridad de pago.</t>
  </si>
  <si>
    <t>Sprint 4</t>
  </si>
  <si>
    <t>Pendiente de planificación</t>
  </si>
  <si>
    <t>Se definirá durante el Sprint Planning correspondiente.</t>
  </si>
  <si>
    <t>Sprint 5</t>
  </si>
  <si>
    <t>Nota: Los Sprints 4 y 5 aún no cuentan con elementos seleccionados; sus tareas se definirán durante el Sprint Planning correspondiente.</t>
  </si>
  <si>
    <t>Fundamentos técnicos, acceso y seguridad de la plataforma web LBWUS</t>
  </si>
  <si>
    <t>Consolidación técnica y validación integral de la plataforma web LBWUS</t>
  </si>
  <si>
    <t>Búsqueda, disponibilidad y reservas seguras en la plataforma web LBWUS</t>
  </si>
  <si>
    <t>Sprint Backlog – LBWUS · Sprint 1</t>
  </si>
  <si>
    <t>Épica</t>
  </si>
  <si>
    <t>Sprint Goal</t>
  </si>
  <si>
    <t>Establecer una base técnica integrada y segura que permita autenticar usuarios, controlar accesos y disponer de los componentes fundamentales para continuar el desarrollo de la plataforma web LBWUS.</t>
  </si>
  <si>
    <t>Fuente</t>
  </si>
  <si>
    <t>ID Jira</t>
  </si>
  <si>
    <t>Elemento seleccionado</t>
  </si>
  <si>
    <t>Área / etiqueta</t>
  </si>
  <si>
    <t>Tipo</t>
  </si>
  <si>
    <t>Responsable</t>
  </si>
  <si>
    <t>Prioridad</t>
  </si>
  <si>
    <t>Criterio de aceptación / Resultado esperado</t>
  </si>
  <si>
    <t>Dependencias / Observaciones</t>
  </si>
  <si>
    <t>Evidencia / Resultado</t>
  </si>
  <si>
    <t>SCRUM-17</t>
  </si>
  <si>
    <t>2.4 Diseñar experiencia y flujo de usuario</t>
  </si>
  <si>
    <t>UX/UI y Diseño</t>
  </si>
  <si>
    <t>Tarea</t>
  </si>
  <si>
    <t>Francheska Cisterna Porras</t>
  </si>
  <si>
    <t>Media</t>
  </si>
  <si>
    <t>Los principales recorridos de usuario quedan definidos y son coherentes con las funcionalidades del MVP.</t>
  </si>
  <si>
    <t>Épica: Fundamentos técnicos, acceso y seguridad de la plataforma web LBWUS | Fecha objetivo Jira: 21/Sep/26 12:00 AM | Actividad evidenciada como finalizada en Jira.</t>
  </si>
  <si>
    <t>SCRUM-16</t>
  </si>
  <si>
    <t>1.6 Actualizar documentación del proyecto</t>
  </si>
  <si>
    <t>Gestión del Proyecto</t>
  </si>
  <si>
    <t>Los documentos del proyecto reflejan el estado vigente del desarrollo y los cambios acordados por el equipo.</t>
  </si>
  <si>
    <t>Épica: Fundamentos técnicos, acceso y seguridad de la plataforma web LBWUS | Fecha objetivo Jira: 28/Sep/26 12:00 AM | Actividad recurrente; puede generar nuevos ítems en Sprints futuros.</t>
  </si>
  <si>
    <t>SCRUM-18</t>
  </si>
  <si>
    <t>2.6 Definir componentes reutilizables del diseño</t>
  </si>
  <si>
    <t>Por definir / no incluido en la exportación de Jira.</t>
  </si>
  <si>
    <t>Épica: Fundamentos técnicos, acceso y seguridad de la plataforma web LBWUS | Fecha objetivo Jira: 28/Sep/26 12:00 AM</t>
  </si>
  <si>
    <t>SCRUM-19</t>
  </si>
  <si>
    <t>3.4 Corregir templates y rutas</t>
  </si>
  <si>
    <t>Frontend</t>
  </si>
  <si>
    <t>Alta</t>
  </si>
  <si>
    <t>Las vistas y rutas principales funcionan sin errores críticos y conducen al contenido esperado.</t>
  </si>
  <si>
    <t>Épica: Fundamentos técnicos, acceso y seguridad de la plataforma web LBWUS | Fecha objetivo Jira: 21/Sep/26 12:00 AM | Validar nuevamente cuando se integren cambios posteriores.</t>
  </si>
  <si>
    <t>SCRUM-20</t>
  </si>
  <si>
    <t>3.5 Unificar base.html, navbar y footer</t>
  </si>
  <si>
    <t>SCRUM-21</t>
  </si>
  <si>
    <t>4.3 Corregir Views y URLs</t>
  </si>
  <si>
    <t>Backend</t>
  </si>
  <si>
    <t>SCRUM-22</t>
  </si>
  <si>
    <t>4.4 Mejorar validaciones del Backend</t>
  </si>
  <si>
    <t>Franco Eduardo Sáez Martinez</t>
  </si>
  <si>
    <t>Las entradas inválidas son rechazadas correctamente y los flujos principales mantienen consistencia.</t>
  </si>
  <si>
    <t>Épica: Fundamentos técnicos, acceso y seguridad de la plataforma web LBWUS | Fecha objetivo Jira: 21/Sep/26 12:00 AM | Mantener pruebas asociadas a los cambios.</t>
  </si>
  <si>
    <t>SCRUM-23</t>
  </si>
  <si>
    <t>4.5 Desarrollar lógica de negocio del MVP</t>
  </si>
  <si>
    <t>Los flujos principales definidos para el MVP operan sin errores críticos y se integran con las vistas y persistencia.</t>
  </si>
  <si>
    <t>Épica: Fundamentos técnicos, acceso y seguridad de la plataforma web LBWUS | Fecha objetivo Jira: 21/Sep/26 12:00 AM | Requiere revisión continua al incorporar nuevas funcionalidades.</t>
  </si>
  <si>
    <t>SCRUM-25</t>
  </si>
  <si>
    <t>5.5 Centralizar autenticación y eliminar duplicación de contraseñas</t>
  </si>
  <si>
    <t>Usuarios y Autenticación</t>
  </si>
  <si>
    <t>Muy alta</t>
  </si>
  <si>
    <t>La autenticación utiliza una única fuente de credenciales y no existen contraseñas duplicadas entre modelos.</t>
  </si>
  <si>
    <t>Épica: Fundamentos técnicos, acceso y seguridad de la plataforma web LBWUS | Fecha objetivo Jira: 21/Sep/26 12:00 AM | Base para permisos y perfiles asociados a CustomUser.</t>
  </si>
  <si>
    <t>SCRUM-26</t>
  </si>
  <si>
    <t>5.6 Vincular perfiles de usuario a CustomUser</t>
  </si>
  <si>
    <t>Cada perfil queda relacionado con un usuario autenticado sin duplicidades y mantiene integridad referencial.</t>
  </si>
  <si>
    <t>Épica: Fundamentos técnicos, acceso y seguridad de la plataforma web LBWUS | Fecha objetivo Jira: 28/Sep/26 12:00 AM | Depende de la autenticación centralizada.</t>
  </si>
  <si>
    <t>SCRUM-40</t>
  </si>
  <si>
    <t>8.3 Revisar y depurar base de datos SQLite actual</t>
  </si>
  <si>
    <t>Base de Datos</t>
  </si>
  <si>
    <t>Los datos de prueba innecesarios son eliminados, las relaciones son consistentes y la aplicación mantiene funcionamiento correcto.</t>
  </si>
  <si>
    <t>Épica: Fundamentos técnicos, acceso y seguridad de la plataforma web LBWUS | Fecha objetivo Jira: 21/Sep/26 12:00 AM | La base actual observada en el repositorio es SQLite; no se declara migración a MongoDB como implementada.</t>
  </si>
  <si>
    <t>SCRUM-15</t>
  </si>
  <si>
    <t>1.4 Organizar control de versiones Git/GitHub</t>
  </si>
  <si>
    <t>Benjamín Jonathan Nicovani Moya</t>
  </si>
  <si>
    <t>El repositorio mantiene ramas y commits identificables y permite integrar cambios del equipo con trazabilidad.</t>
  </si>
  <si>
    <t>Épica: Fundamentos técnicos, acceso y seguridad de la plataforma web LBWUS | Fecha objetivo Jira: 28/Sep/26 12:00 AM | Continuar usando el mismo flujo durante los Sprints siguientes.</t>
  </si>
  <si>
    <t>SCRUM-24</t>
  </si>
  <si>
    <t>5.4 Corregir autorización y permisos por rol</t>
  </si>
  <si>
    <t>Cada tipo de usuario accede únicamente a las vistas y acciones permitidas; accesos no autorizados son rechazados.</t>
  </si>
  <si>
    <t>Épica: Fundamentos técnicos, acceso y seguridad de la plataforma web LBWUS | Fecha objetivo Jira: 28/Sep/26 12:00 AM | Depende de autenticación y definición de roles.</t>
  </si>
  <si>
    <t>SCRUM-46</t>
  </si>
  <si>
    <t>9.2 Configurar seguridad según ambiente (DEBUG y ALLOWED_HOSTS)</t>
  </si>
  <si>
    <t>Seguridad</t>
  </si>
  <si>
    <t>SCRUM-45</t>
  </si>
  <si>
    <t>9.1 Configurar variables de entorno y proteger SECRET_KEY</t>
  </si>
  <si>
    <t>SCRUM-53</t>
  </si>
  <si>
    <t>10.5 Completar documentación AS-IS y TO-BE</t>
  </si>
  <si>
    <t>QA, Documentación y Despliegue</t>
  </si>
  <si>
    <t>Épica: Fundamentos técnicos, acceso y seguridad de la plataforma web LBWUS | Fecha objetivo Jira: 21/Sep/26 12:00 AM</t>
  </si>
  <si>
    <t>Sprint Backlog – LBWUS · Sprint 2</t>
  </si>
  <si>
    <t>Consolidar técnicamente la plataforma web LBWUS mediante la estabilización de sus componentes, actualización del modelo de datos, fortalecimiento de la seguridad y validación de la solución mediante pruebas y documentación técnica.</t>
  </si>
  <si>
    <t>SCRUM-41</t>
  </si>
  <si>
    <t>8.4 Normalizar el modelo de datos</t>
  </si>
  <si>
    <t>El modelo actualizado reduce redundancias, mantiene relaciones consistentes y soporta los flujos definidos para el MVP.</t>
  </si>
  <si>
    <t>Épica: Consolidación técnica y validación integral de la plataforma web LBWUS | Fecha objetivo Jira: 04/Oct/26 12:00 AM | Relacionada con MER actualizado y entidades del nuevo MVP.</t>
  </si>
  <si>
    <t>SCRUM-28</t>
  </si>
  <si>
    <t>6.8 Revisar y estabilizar los CRUD existentes</t>
  </si>
  <si>
    <t>Funcionalidades Actuales</t>
  </si>
  <si>
    <t>Las operaciones crear, consultar, modificar y eliminar funcionan sin errores críticos en los módulos incluidos en el Sprint.</t>
  </si>
  <si>
    <t>Épica: Consolidación técnica y validación integral de la plataforma web LBWUS | Fecha objetivo Jira: 04/Oct/26 12:00 AM | Revisar después de cambios en modelos y relaciones.</t>
  </si>
  <si>
    <t>SCRUM-27</t>
  </si>
  <si>
    <t>6.6 Corregir y adaptar portales según tipo de usuario</t>
  </si>
  <si>
    <t>Cada tipo de usuario visualiza únicamente el portal, opciones y acciones que corresponden a su rol.</t>
  </si>
  <si>
    <t>Épica: Consolidación técnica y validación integral de la plataforma web LBWUS | Fecha objetivo Jira: 03/Oct/26 12:00 AM | Relacionada con permisos y autenticación.</t>
  </si>
  <si>
    <t>SCRUM-42</t>
  </si>
  <si>
    <t>8.5 Diseñar MER actualizado de LBWUS</t>
  </si>
  <si>
    <t>El MER representa las entidades, atributos y relaciones vigentes del sistema y es coherente con los modelos implementados.</t>
  </si>
  <si>
    <t>Épica: Consolidación técnica y validación integral de la plataforma web LBWUS | Fecha objetivo Jira: 05/Oct/26 12:00 AM | Debe alinearse con los modelos Django actuales y futuras decisiones de persistencia.</t>
  </si>
  <si>
    <t>SCRUM-47</t>
  </si>
  <si>
    <t>9.5 Implementar protección, privacidad y minimización de datos personales</t>
  </si>
  <si>
    <t>Los formularios y modelos solicitan solo datos necesarios y se aplican controles de privacidad definidos para LBWUS.</t>
  </si>
  <si>
    <t>Épica: Consolidación técnica y validación integral de la plataforma web LBWUS | Fecha objetivo Jira: 06/Oct/26 12:00 AM | Relacionada con RNF de seguridad y privacidad.</t>
  </si>
  <si>
    <t>SCRUM-43</t>
  </si>
  <si>
    <t>8.6 Crear entidades necesarias para el nuevo MVP</t>
  </si>
  <si>
    <t>Las nuevas entidades quedan implementadas y relacionadas correctamente con el modelo de datos actualizado.</t>
  </si>
  <si>
    <t>Épica: Consolidación técnica y validación integral de la plataforma web LBWUS | Fecha objetivo Jira: 07/Oct/26 12:00 AM | Depende de la definición/actualización del modelo.</t>
  </si>
  <si>
    <t>SCRUM-49</t>
  </si>
  <si>
    <t>10.1 Ejecutar pruebas funcionales del MVP</t>
  </si>
  <si>
    <t>Los flujos principales son ejecutados y los resultados, incidencias y evidencias quedan registrados.</t>
  </si>
  <si>
    <t>Épica: Consolidación técnica y validación integral de la plataforma web LBWUS | Fecha objetivo Jira: 08/Oct/26 12:00 AM | Requiere funcionalidades integradas para validar.</t>
  </si>
  <si>
    <t>SCRUM-50</t>
  </si>
  <si>
    <t>10.2 Realizar pruebas de usabilidad</t>
  </si>
  <si>
    <t>Se registran participantes, tareas evaluadas, hallazgos y oportunidades de mejora sobre los flujos principales.</t>
  </si>
  <si>
    <t>Épica: Consolidación técnica y validación integral de la plataforma web LBWUS | Fecha objetivo Jira: 08/Oct/26 12:00 AM | Relacionada con RNF de usabilidad.</t>
  </si>
  <si>
    <t>SCRUM-51</t>
  </si>
  <si>
    <t>10.3 Ejecutar pruebas de integración y regresión</t>
  </si>
  <si>
    <t>Los componentes integrados funcionan en conjunto y los cambios no generan fallos críticos en funcionalidades previamente validadas.</t>
  </si>
  <si>
    <t>Épica: Consolidación técnica y validación integral de la plataforma web LBWUS | Fecha objetivo Jira: 09/Oct/26 12:00 AM | Ejecutar después de integrar cambios del Sprint.</t>
  </si>
  <si>
    <t>SCRUM-59</t>
  </si>
  <si>
    <t>11.1	Documentar metodología Scrum y su justificación en LBWUS</t>
  </si>
  <si>
    <t>El documento describe justificación, aplicación, roles, artefactos, eventos, DoD, herramientas y evidencias de Scrum en LBWUS.</t>
  </si>
  <si>
    <t>Épica: Consolidación técnica y validación integral de la plataforma web LBWUS | Fecha objetivo Jira: 03/Oct/26 12:00 AM | Documento desarrollado; actualizar estado real en Jira si corresponde.</t>
  </si>
  <si>
    <t>SCRUM-60</t>
  </si>
  <si>
    <t>11.2	Elaborar Product Vision de LBWUS</t>
  </si>
  <si>
    <t>La Product Vision define usuarios, problema, propuesta de valor, objetivos y orientación del producto.</t>
  </si>
  <si>
    <t>Épica: Consolidación técnica y validación integral de la plataforma web LBWUS | Fecha objetivo Jira: 03/Oct/26 12:00 AM | Validar con el equipo antes de cerrar.</t>
  </si>
  <si>
    <t>SCRUM-61</t>
  </si>
  <si>
    <t>11.3	Documentar Product Backlog</t>
  </si>
  <si>
    <t>El Product Backlog queda consolidado con elementos, prioridad, criterios, estado y Sprint cuando corresponda.</t>
  </si>
  <si>
    <t>Épica: Consolidación técnica y validación integral de la plataforma web LBWUS | Fecha objetivo Jira: 03/Oct/26 12:00 AM | Relacionar con la matriz Product Backlog y Jira.</t>
  </si>
  <si>
    <t>SCRUM-62</t>
  </si>
  <si>
    <t>11.4	Documentar Sprint Backlog</t>
  </si>
  <si>
    <t>Épica: Consolidación técnica y validación integral de la plataforma web LBWUS | Fecha objetivo Jira: 04/Oct/26 12:00 AM</t>
  </si>
  <si>
    <t>SCRUM-63</t>
  </si>
  <si>
    <t>11.5	Documentar Definition of Done</t>
  </si>
  <si>
    <t>Épica: Consolidación técnica y validación integral de la plataforma web LBWUS | Fecha objetivo Jira: 05/Oct/26 12:00 AM</t>
  </si>
  <si>
    <t>SCRUM-66</t>
  </si>
  <si>
    <t>11.6	Elaborar Informe de Arquitectura</t>
  </si>
  <si>
    <t>Épica: Consolidación técnica y validación integral de la plataforma web LBWUS | Fecha objetivo Jira: 07/Oct/26 12:00 AM</t>
  </si>
  <si>
    <t>SCRUM-67</t>
  </si>
  <si>
    <t>11.7	Elaborar Informe de Modelo de Datos</t>
  </si>
  <si>
    <t>SCRUM-68</t>
  </si>
  <si>
    <t>11.8	Elaborar Diagramas UML</t>
  </si>
  <si>
    <t>SCRUM-69</t>
  </si>
  <si>
    <t>11.9	Elaborar Informe de Requisitos No Funcionales</t>
  </si>
  <si>
    <t>Épica: Consolidación técnica y validación integral de la plataforma web LBWUS | Fecha objetivo Jira: 08/Oct/26 12:00 AM</t>
  </si>
  <si>
    <t>SCRUM-70</t>
  </si>
  <si>
    <t>11.10	Actualizar README</t>
  </si>
  <si>
    <t>SCRUM-71</t>
  </si>
  <si>
    <t>11.11	Elaborar Informe y Evidencias de Pruebas</t>
  </si>
  <si>
    <t>Épica: Consolidación técnica y validación integral de la plataforma web LBWUS | Fecha objetivo Jira: 10/Oct/26 12:00 AM</t>
  </si>
  <si>
    <t>SCRUM-72</t>
  </si>
  <si>
    <t>11.12	Elaborar Informe de Innovación de LBWUS</t>
  </si>
  <si>
    <t>SCRUM-73</t>
  </si>
  <si>
    <t>11.13	Elaborar Informe de Análisis de Mercado y Competencia</t>
  </si>
  <si>
    <t>Análisis Estratégico e Innovación</t>
  </si>
  <si>
    <t>SCRUM-74</t>
  </si>
  <si>
    <t>11.14	Elaborar Retrospectiva de Sprint 1 y Sprint 2</t>
  </si>
  <si>
    <t>SCRUM-75</t>
  </si>
  <si>
    <t>11.15	Consolidar Evidencias de Fase 2</t>
  </si>
  <si>
    <t>Sprint Backlog – LBWUS · Sprint 3</t>
  </si>
  <si>
    <t>Periodo</t>
  </si>
  <si>
    <t>12–25/10/2026</t>
  </si>
  <si>
    <t>Regla Scrum</t>
  </si>
  <si>
    <t>El detalle corresponde solo a elementos seleccionados en Sprint Planning.</t>
  </si>
  <si>
    <t>Jira / evidencia del proyecto</t>
  </si>
  <si>
    <t>Avance</t>
  </si>
  <si>
    <t>0 de 8 tareas finalizadas</t>
  </si>
  <si>
    <t>SCRUM-29</t>
  </si>
  <si>
    <t>Integrar la selección de clases y la inscripción en la experiencia del estudiante</t>
  </si>
  <si>
    <t>Frontend / Inscripciones</t>
  </si>
  <si>
    <t>Selección de clase y profesor reales; inscripción correcta en backend; confirmación o error; pruebas con y sin sesión; sin reservas simuladas.</t>
  </si>
  <si>
    <t>Épica SCRUM-79 | Fecha objetivo: 25/10/2026 | Integrar vista del alumno y lógica Django.</t>
  </si>
  <si>
    <t>Pendiente de desarrollo y validación.</t>
  </si>
  <si>
    <t>SCRUM-30</t>
  </si>
  <si>
    <t>Integrar buscador de profesionales con datos reales de Django</t>
  </si>
  <si>
    <t>Frontend / Búsqueda</t>
  </si>
  <si>
    <t>Buscar profesionales reales por nombre y especialidad; excluir perfiles no aprobados; evitar métricas simuladas; contemplar resultados vacíos.</t>
  </si>
  <si>
    <t>Épica SCRUM-79 | Fecha objetivo: 25/10/2026 | alumnos/views.py; Alumno_pag1.html.</t>
  </si>
  <si>
    <t>SCRUM-31</t>
  </si>
  <si>
    <t>Completar filtros de búsqueda por especialidad, modalidad y disponibilidad real</t>
  </si>
  <si>
    <t>Filtrar por especialidad, modalidad y disponibilidad efectiva; combinar criterios y manejar búsquedas sin resultados; pruebas de interfaz.</t>
  </si>
  <si>
    <t>Épica SCRUM-79 | Depende de SCRUM-33 | Fecha objetivo: 25/10/2026.</t>
  </si>
  <si>
    <t>SCRUM-32</t>
  </si>
  <si>
    <t>Implementar perfil profesional detallado con información real y privacidad</t>
  </si>
  <si>
    <t>Frontend / Perfiles</t>
  </si>
  <si>
    <t>Mostrar perfil aprobado, especialidad y clases reales, sin exponer RUT, títulos ni datos bancarios; navegación responsiva y pruebas de permisos.</t>
  </si>
  <si>
    <t>Épica SCRUM-79 | Fecha objetivo: 25/10/2026 | Perfil conectado al catálogo.</t>
  </si>
  <si>
    <t>SCRUM-33</t>
  </si>
  <si>
    <t>Ampliar modelo de disponibilidad con fecha, cupos y valor de tutoría</t>
  </si>
  <si>
    <t>Modelar sesiones con fecha, cupos y valor; migraciones Django; validaciones de fechas/cupos; pruebas de integridad y consultas.</t>
  </si>
  <si>
    <t>Épica SCRUM-79 | Fecha objetivo: 25/10/2026 | Base para SCRUM-31 y SCRUM-34.</t>
  </si>
  <si>
    <t>SCRUM-34</t>
  </si>
  <si>
    <t>Implementar reserva segura y control de cupos para clases</t>
  </si>
  <si>
    <t>Backend / Reservas</t>
  </si>
  <si>
    <t>Impedir reservas duplicadas; validar cupos al confirmar; operación atómica ante concurrencia; pruebas de reservas válidas, duplicadas y sin cupo.</t>
  </si>
  <si>
    <t>SCRUM-48</t>
  </si>
  <si>
    <t>Corregir y validar seguridad de pago Webpay y cálculo de honorarios</t>
  </si>
  <si>
    <t>Seguridad / Pagos</t>
  </si>
  <si>
    <t>Calcular monto en servidor; verificar pago confirmado, orden y token; prevenir pagos duplicados y remunerar solo transacciones confirmadas; pruebas.</t>
  </si>
  <si>
    <t>Épica SCRUM-79 | Coordinar datos con Franco | Fecha objetivo: 25/10/2026.</t>
  </si>
  <si>
    <t>SCRUM-52</t>
  </si>
  <si>
    <t>Automatizar pruebas de búsqueda, reservas, permisos y pagos</t>
  </si>
  <si>
    <t>QA / Pruebas</t>
  </si>
  <si>
    <t>Automatizar pruebas de filtros, cupos, concurrencia, inscripciones, pagos y permisos; conservar resultados reproducibles y registrar defectos.</t>
  </si>
  <si>
    <t>Épica SCRUM-79 | Fecha objetivo: 25/10/2026 | En coordinación con el equipo.</t>
  </si>
  <si>
    <t>Sprint Backlog – LBWUS · Sprint 4</t>
  </si>
  <si>
    <t>Objetivo</t>
  </si>
  <si>
    <t>Sin elementos definidos todavía</t>
  </si>
  <si>
    <t>Este Sprint Backlog no se completa anticipadamente. Los elementos se incorporarán cuando el equipo realice el Sprint Planning correspondiente, considerando la prioridad vigente del Product Backlog, la capacidad del equipo y los resultados de la iteración anterior.</t>
  </si>
  <si>
    <t>Sprint Backlog – LBWUS · Sprint 5</t>
  </si>
  <si>
    <t>Guía de uso – Sprint Backlog General LBWUS</t>
  </si>
  <si>
    <t>Concepto</t>
  </si>
  <si>
    <t>Cómo aplicarlo en LBWUS</t>
  </si>
  <si>
    <t>Product Backlog</t>
  </si>
  <si>
    <t>Contiene todos los elementos priorizables del producto, estén o no asignados a un Sprint.</t>
  </si>
  <si>
    <t>Sprint Backlog</t>
  </si>
  <si>
    <t>Contiene únicamente los elementos seleccionados para una iteración concreta durante Sprint Planning.</t>
  </si>
  <si>
    <t>Registrar el Sprint Goal validado por el equipo durante la planificación de la iteración. Los objetivos de los dos primeros Sprints están propuestos y pendientes de confirmación.</t>
  </si>
  <si>
    <t>Sprints futuros</t>
  </si>
  <si>
    <t>Los Sprints 4 y 5 siguen sin tareas anticipadas. Su contenido se elegirá en el Sprint Planning correspondiente.</t>
  </si>
  <si>
    <t>Completar con la asignación real de Jira cuando exista.</t>
  </si>
  <si>
    <t>Mantener sincronizado con Jira: Por hacer, En curso, En revisión, Finalizado o Bloqueado.</t>
  </si>
  <si>
    <t>Evidencia</t>
  </si>
  <si>
    <t>Agregar PR, commit, captura, documento o resultado de prueba que demuestre el trabajo realizado.</t>
  </si>
  <si>
    <t>Los Sprints 1 y 2 están relacionados con sus épicas respectivas; el Sprint 3 se asocia a SCRUM-79. Las áreas técnicas siguen como clasificación adicional.</t>
  </si>
  <si>
    <t>Sprint Goal / objetivo de referencia</t>
  </si>
  <si>
    <t>OBJETIVO DOCUMENTAL (no consta en campo Sprint Goal de Jira): Establecer una base técnica integrada y segura que permita autenticar usuarios, controlar accesos y disponer de componentes para continuar el desarrollo de LBWUS.</t>
  </si>
  <si>
    <t>OBJETIVO DOCUMENTAL (no consta en campo Sprint Goal de Jira): Consolidar técnicamente LBWUS mediante estabilización de componentes, actualización de datos, seguridad, pruebas y documentación.</t>
  </si>
  <si>
    <t>Naturaleza del Goal</t>
  </si>
  <si>
    <t>Objetivo de referencia reconstruido a partir del alcance. El campo Sprint Goal del Sprint 1 está vacío en Jira.</t>
  </si>
  <si>
    <t>Jira (campo Sprint Goal sin registro); objetivo de referencia documental.</t>
  </si>
  <si>
    <t>Resultado Jira: Finalizado. Referencia: vistas de usuario en alumnos/templates/alumnos/; captura de interfaz de Guía APT Fase 2. Validar entregable UX.</t>
  </si>
  <si>
    <t>Resultado Jira: Finalizado. Referencia: Guía APT Fase 2 y documentos técnicos LBWUS elaborados por el equipo; pendiente verificar publicación en Git.</t>
  </si>
  <si>
    <t>Resultado Jira: Finalizado. Referencia técnica: alumnos/templates/alumnos/base.html e includes/navbar.html y footer.html.</t>
  </si>
  <si>
    <t>Resultado Jira: Finalizado. Referencia técnica: alumnos/urls.py y alumnos/views.py; comprobar navegación y rutas en las evidencias funcionales.</t>
  </si>
  <si>
    <t>Resultado Jira: Finalizado. Referencia: alumnos/templates/alumnos/base.html, includes/navbar.html e includes/footer.html.</t>
  </si>
  <si>
    <t>Resultado Jira: Finalizado. Referencia: alumnos/views.py, alumnos/urls.py y lbwus/urls.py; pruebas de navegación por verificar.</t>
  </si>
  <si>
    <t>Resultado Jira: Finalizado. Referencia: alumnos/views.py y tests/test_control_acceso.py; capturas del código de pruebas.</t>
  </si>
  <si>
    <t>Resultado Jira: Finalizado. Referencia: alumnos/views.py, alumnos/models.py y tests/test_flujos_funcionales.py; validar flujo completo.</t>
  </si>
  <si>
    <t>Resultado Jira: Finalizado. Referencia: modelo CustomUser en alumnos/models.py y código de autenticación de Django.</t>
  </si>
  <si>
    <t>Resultado Jira: Finalizado. Referencia: relaciones OneToOne con CustomUser de Tutor, Alumno y Profesor en alumnos/models.py.</t>
  </si>
  <si>
    <t>Resultado Jira: Finalizado. Referencia: alumnos/models.py y persistencia relacional del proyecto; registro de depuración específica por confirmar.</t>
  </si>
  <si>
    <t>Resultado Jira: Finalizado. Evidencia: repositorio GitHub Haekz/Capstone e historial de commits (Guía APT Fase 2).</t>
  </si>
  <si>
    <t>Resultado Jira: Finalizado. Referencia: tests/test_portales_por_rol.py y tests/test_control_acceso.py; resultados de ejecución por verificar.</t>
  </si>
  <si>
    <t>Resultado Jira: Finalizado. Referencia técnica: lbwus/settings.py; confirmar configuración efectiva del ambiente desplegado.</t>
  </si>
  <si>
    <t>Resultado Jira: Finalizado. Referencia técnica: lbwus/settings.py y variables de entorno; verificar configuración sin exponer secretos.</t>
  </si>
  <si>
    <t>Resultado Jira: Finalizado. Evidencia documental AS-IS / TO-BE pendiente de vincular al repositorio; no consta archivo adjunto a esta planilla.</t>
  </si>
  <si>
    <t>Objetivo de referencia reconstruido a partir del alcance. El campo Sprint Goal del Sprint 2 no consta en Jira.</t>
  </si>
  <si>
    <t>Resultado Jira: Finalizado. Referencia: alumnos/models.py, migraciones Django e Informe de Modelo de Datos; comprobar normalización.</t>
  </si>
  <si>
    <t>Resultado Jira: Finalizado. Referencia: alumnos/views.py y vistas de user_profesor/; resultados de pruebas CRUD por vincular.</t>
  </si>
  <si>
    <t>Resultado Jira: Finalizado. Referencia: tests/test_portales_por_rol.py, vistas de usuario y captura de la interfaz LBWUS.</t>
  </si>
  <si>
    <t>Resultado Jira: Finalizado. Evidencia: Informe de Modelo de Datos y alumnos/models.py; diagrama MER debe coincidir con los modelos.</t>
  </si>
  <si>
    <t>Resultado Jira: Finalizado. Referencia: lbwus/settings.py, modelos y pruebas de permisos; cumplimiento completo de privacidad por verificar.</t>
  </si>
  <si>
    <t>Resultado Jira: Finalizado. Referencia: alumnos/models.py y archivos de alumnos/migrations/; cotejar entidades implementadas.</t>
  </si>
  <si>
    <t>Resultado Jira: Finalizado. Evidencia: Plan de Pruebas LBWUS y tests/test_flujos_funcionales.py; no equivale a ejecución actual aprobada.</t>
  </si>
  <si>
    <t>Resultado Jira: Finalizado. Referencia: Plan de Pruebas LBWUS (apartado de usabilidad); actas o resultados de usuarios por adjuntar.</t>
  </si>
  <si>
    <t>Resultado Jira: Finalizado. Referencia: alumnos/tests_integracion.py y tests/; resultados reproducibles de ejecución por adjuntar.</t>
  </si>
  <si>
    <t>Resultado Jira: Finalizado. Documento: Metodología Scrum y su justificación en LBWUS (Word actualizado).</t>
  </si>
  <si>
    <t>Resultado Jira: Finalizado. Documento: Product_Vision_LBWUS_FORMATO_INFORME.docx.</t>
  </si>
  <si>
    <t>Resultado Jira: Finalizado. Archivo: LBWUS_Product_Backlog_Sprint_3_Agregado.xlsx; versión en Git por verificar.</t>
  </si>
  <si>
    <t>Resultado Jira: Finalizado. Archivo: LBWUS_Sprint_Backlog_Actualizado_Sprint_3.xlsx (revisado en esta edición).</t>
  </si>
  <si>
    <t>Resultado Jira: Finalizado. Documento: Definition_of_Done_LBWUS_FORMATO_INFORME.docx; evidencias de aplicación caso a caso pendientes.</t>
  </si>
  <si>
    <t>Resultado Jira: Finalizado. Referencia documental: Documentacion_Tecnica_LBWUS.docx / Manual Técnico; versión de informe de arquitectura por confirmar.</t>
  </si>
  <si>
    <t>Resultado Jira: Finalizado. Documento: LBWUS_Informe_Modelo_de_Datos_Formato_Documentacion_Tecnica.docx.</t>
  </si>
  <si>
    <t>Resultado Jira: Finalizado. Documento de diagramas UML no vinculado a esta planilla; verificar y agregar ubicación del archivo.</t>
  </si>
  <si>
    <t>Resultado Jira: Finalizado. Informe de requisitos no funcionales / matriz RNF por vincular a la evidencia en Git.</t>
  </si>
  <si>
    <t>Resultado Jira: Finalizado. Evidencia directa: README.md del repositorio GitHub Haekz/Capstone.</t>
  </si>
  <si>
    <t>Resultado Jira: Finalizado. Documento: Plan_Pruebas_LBWUS_Arial11_Sin_Advertencia.docx y archivos de tests/; revalidación pendiente.</t>
  </si>
  <si>
    <t>Resultado Jira: Finalizado. Documento de innovación LBWUS pendiente de vincular al repositorio.</t>
  </si>
  <si>
    <t>Resultado Jira: Finalizado. Informe de mercado y competencia pendiente de vincular a esta planilla.</t>
  </si>
  <si>
    <t>Resultado Jira: Finalizado. Actas de Sprint Retrospective 1 y 2 pendientes de adjuntar o enlazar.</t>
  </si>
  <si>
    <t>Resultado Jira: Finalizado. Evidencia: Guía APT Fase 2 con capturas Jira, GitHub, interfaz, Django y pruebas; subir a 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</si>
</sst>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10"/>
      <color rgb="FF000000"/>
      <name val="Carlito"/>
    </font>
    <font>
      <b/>
      <sz val="10"/>
      <color rgb="FF1F4E78"/>
      <name val="Carlito"/>
    </font>
    <font>
      <b/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7FAFC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4472C4"/>
      </patternFill>
    </fill>
    <fill>
      <patternFill patternType="solid">
        <fgColor rgb="FFE8F0FB"/>
      </patternFill>
    </fill>
    <fill>
      <patternFill patternType="solid">
        <fgColor rgb="FFCAEA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3D9D9"/>
      </patternFill>
    </fill>
    <fill>
      <patternFill patternType="solid">
        <fgColor rgb="FFF8E0E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1" xfId="0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0" xfId="0" applyBorder="1" applyAlignment="1">
      <alignment vertical="top" wrapText="1"/>
    </xf>
    <xf numFmtId="0" fontId="2" fillId="3" borderId="10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vertical="top" wrapText="1"/>
    </xf>
    <xf numFmtId="9" fontId="3" fillId="7" borderId="10" xfId="0" applyNumberFormat="1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2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0" fontId="0" fillId="11" borderId="10" xfId="0" applyFill="1" applyBorder="1" applyAlignment="1">
      <alignment vertical="top" wrapText="1"/>
    </xf>
    <xf numFmtId="0" fontId="0" fillId="13" borderId="10" xfId="0" applyFill="1" applyBorder="1" applyAlignment="1">
      <alignment vertical="top" wrapText="1"/>
    </xf>
    <xf numFmtId="0" fontId="0" fillId="12" borderId="10" xfId="0" applyFill="1" applyBorder="1" applyAlignment="1">
      <alignment vertical="top" wrapText="1"/>
    </xf>
    <xf numFmtId="0" fontId="0" fillId="14" borderId="10" xfId="0" applyFill="1" applyBorder="1" applyAlignment="1">
      <alignment vertical="top" wrapText="1"/>
    </xf>
    <xf numFmtId="0" fontId="0" fillId="15" borderId="10" xfId="0" applyFill="1" applyBorder="1" applyAlignment="1">
      <alignment vertical="top" wrapText="1"/>
    </xf>
    <xf numFmtId="0" fontId="1" fillId="5" borderId="0" xfId="0" applyFont="1" applyFill="1" applyAlignment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51"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 sz="1400"/>
              <a:t>Items seleccionados vs. finalizados por Sprint</a:t>
            </a:r>
          </a:p>
        </c:rich>
      </c:tx>
      <c:layout>
        <c:manualLayout>
          <c:xMode val="edge"/>
          <c:yMode val="edge"/>
          <c:x val="0.24407897126066788"/>
          <c:y val="3.5350421622829066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Resumen!$D$2</c:f>
              <c:strCache>
                <c:ptCount val="1"/>
                <c:pt idx="0">
                  <c:v>Items seleccionados</c:v>
                </c:pt>
              </c:strCache>
            </c:strRef>
          </c:tx>
          <c:invertIfNegative val="1"/>
          <c:cat>
            <c:strRef>
              <c:f>Resumen!$A$3:$A$7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Resumen!$D$3:$D$7</c:f>
              <c:numCache>
                <c:formatCode>General</c:formatCode>
                <c:ptCount val="5"/>
                <c:pt idx="0">
                  <c:v>16</c:v>
                </c:pt>
                <c:pt idx="1">
                  <c:v>24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C-4443-ADCE-AB89B74D8885}"/>
            </c:ext>
          </c:extLst>
        </c:ser>
        <c:ser>
          <c:idx val="1"/>
          <c:order val="1"/>
          <c:tx>
            <c:strRef>
              <c:f>Resumen!$I$2</c:f>
              <c:strCache>
                <c:ptCount val="1"/>
                <c:pt idx="0">
                  <c:v>Finalizados</c:v>
                </c:pt>
              </c:strCache>
            </c:strRef>
          </c:tx>
          <c:invertIfNegative val="1"/>
          <c:cat>
            <c:strRef>
              <c:f>Resumen!$A$3:$A$7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Resumen!$I$3:$I$7</c:f>
              <c:numCache>
                <c:formatCode>General</c:formatCode>
                <c:ptCount val="5"/>
                <c:pt idx="0">
                  <c:v>16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C-4443-ADCE-AB89B74D8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1</xdr:row>
      <xdr:rowOff>1152769</xdr:rowOff>
    </xdr:from>
    <xdr:to>
      <xdr:col>22</xdr:col>
      <xdr:colOff>390770</xdr:colOff>
      <xdr:row>5</xdr:row>
      <xdr:rowOff>1094155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1Table" displayName="Sprint1Table" ref="A6:J22" totalsRowShown="0" headerRowBorderDxfId="50">
  <tableColumns count="10">
    <tableColumn id="1" xr3:uid="{00000000-0010-0000-0000-000001000000}" name="ID Jira" dataDxfId="49"/>
    <tableColumn id="2" xr3:uid="{00000000-0010-0000-0000-000002000000}" name="Elemento seleccionado" dataDxfId="48"/>
    <tableColumn id="3" xr3:uid="{00000000-0010-0000-0000-000003000000}" name="Área / etiqueta" dataDxfId="47"/>
    <tableColumn id="4" xr3:uid="{00000000-0010-0000-0000-000004000000}" name="Tipo" dataDxfId="46"/>
    <tableColumn id="5" xr3:uid="{00000000-0010-0000-0000-000005000000}" name="Responsable" dataDxfId="45"/>
    <tableColumn id="6" xr3:uid="{00000000-0010-0000-0000-000006000000}" name="Estado" dataDxfId="44"/>
    <tableColumn id="7" xr3:uid="{00000000-0010-0000-0000-000007000000}" name="Prioridad" dataDxfId="43"/>
    <tableColumn id="8" xr3:uid="{00000000-0010-0000-0000-000008000000}" name="Criterio de aceptación / Resultado esperado" dataDxfId="42"/>
    <tableColumn id="9" xr3:uid="{00000000-0010-0000-0000-000009000000}" name="Dependencias / Observaciones" dataDxfId="41"/>
    <tableColumn id="10" xr3:uid="{00000000-0010-0000-0000-00000A000000}" name="Evidencia / Resultado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rint2Table" displayName="Sprint2Table" ref="A6:J30" totalsRowShown="0">
  <tableColumns count="10">
    <tableColumn id="1" xr3:uid="{00000000-0010-0000-0100-000001000000}" name="ID Jira" dataDxfId="39"/>
    <tableColumn id="2" xr3:uid="{00000000-0010-0000-0100-000002000000}" name="Elemento seleccionado" dataDxfId="38"/>
    <tableColumn id="3" xr3:uid="{00000000-0010-0000-0100-000003000000}" name="Área / etiqueta" dataDxfId="37"/>
    <tableColumn id="4" xr3:uid="{00000000-0010-0000-0100-000004000000}" name="Tipo" dataDxfId="36"/>
    <tableColumn id="5" xr3:uid="{00000000-0010-0000-0100-000005000000}" name="Responsable" dataDxfId="35"/>
    <tableColumn id="6" xr3:uid="{00000000-0010-0000-0100-000006000000}" name="Estado" dataDxfId="34"/>
    <tableColumn id="7" xr3:uid="{00000000-0010-0000-0100-000007000000}" name="Prioridad" dataDxfId="33"/>
    <tableColumn id="8" xr3:uid="{00000000-0010-0000-0100-000008000000}" name="Criterio de aceptación / Resultado esperado" dataDxfId="32"/>
    <tableColumn id="9" xr3:uid="{00000000-0010-0000-0100-000009000000}" name="Dependencias / Observaciones" dataDxfId="31"/>
    <tableColumn id="10" xr3:uid="{00000000-0010-0000-0100-00000A000000}" name="Evidencia / Resultado" data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opLeftCell="A2" zoomScale="69" workbookViewId="0">
      <selection activeCell="I17" sqref="I17"/>
    </sheetView>
  </sheetViews>
  <sheetFormatPr baseColWidth="10" defaultColWidth="8.83203125" defaultRowHeight="15"/>
  <cols>
    <col min="1" max="1" width="14" customWidth="1"/>
    <col min="2" max="2" width="24" customWidth="1"/>
    <col min="3" max="3" width="48" customWidth="1"/>
    <col min="4" max="4" width="18" customWidth="1"/>
    <col min="5" max="5" width="16" customWidth="1"/>
    <col min="6" max="6" width="14.83203125" customWidth="1"/>
    <col min="7" max="7" width="16.1640625" customWidth="1"/>
    <col min="8" max="8" width="12" customWidth="1"/>
    <col min="9" max="9" width="16.6640625" customWidth="1"/>
    <col min="10" max="10" width="21.1640625" customWidth="1"/>
  </cols>
  <sheetData>
    <row r="1" spans="1:21" ht="88.2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21" ht="133" customHeight="1">
      <c r="A2" s="16" t="s">
        <v>1</v>
      </c>
      <c r="B2" s="16" t="s">
        <v>2</v>
      </c>
      <c r="C2" s="16" t="s">
        <v>254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</row>
    <row r="3" spans="1:21" ht="73" customHeight="1">
      <c r="A3" s="17" t="s">
        <v>10</v>
      </c>
      <c r="B3" s="17" t="s">
        <v>11</v>
      </c>
      <c r="C3" s="19" t="s">
        <v>255</v>
      </c>
      <c r="D3" s="17">
        <f>COUNTA('Sprint 1'!$A$7:$A$22)</f>
        <v>16</v>
      </c>
      <c r="E3" s="17">
        <f>COUNTA('Sprint 1'!$A$7:$A$22)</f>
        <v>16</v>
      </c>
      <c r="F3" s="17">
        <f>COUNTIF('Sprint 1'!$F$7:$F$22,"Por hacer")</f>
        <v>0</v>
      </c>
      <c r="G3" s="17">
        <f>COUNTIF('Sprint 1'!$F$7:$F$22,"En curso")</f>
        <v>0</v>
      </c>
      <c r="H3" s="17">
        <f>COUNTIF('Sprint 1'!$F$7:$F$22,"En revisión")</f>
        <v>0</v>
      </c>
      <c r="I3" s="17">
        <f>COUNTIF('Sprint 1'!$F$7:$F$22,"Finalizado")</f>
        <v>16</v>
      </c>
      <c r="J3" s="18">
        <f>IFERROR(I3/D3,0)</f>
        <v>1</v>
      </c>
    </row>
    <row r="4" spans="1:21" ht="82" customHeight="1">
      <c r="A4" s="17" t="s">
        <v>12</v>
      </c>
      <c r="B4" s="17" t="s">
        <v>11</v>
      </c>
      <c r="C4" s="19" t="s">
        <v>256</v>
      </c>
      <c r="D4" s="17">
        <f>COUNTA('Sprint 2'!$A$7:$A$30)</f>
        <v>24</v>
      </c>
      <c r="E4" s="17">
        <f>COUNTA('Sprint 2'!$A$7:$A$30)</f>
        <v>24</v>
      </c>
      <c r="F4" s="17">
        <f>COUNTIF('Sprint 2'!$F$7:$F$30,"Por hacer")</f>
        <v>0</v>
      </c>
      <c r="G4" s="17">
        <f>COUNTIF('Sprint 2'!$F$7:$F$30,"En curso")</f>
        <v>0</v>
      </c>
      <c r="H4" s="17">
        <f>COUNTIF('Sprint 2'!$F$7:$F$30,"En revisión")</f>
        <v>0</v>
      </c>
      <c r="I4" s="17">
        <f>COUNTIF('Sprint 2'!$F$7:$F$30,"Finalizado")</f>
        <v>24</v>
      </c>
      <c r="J4" s="18">
        <f>IFERROR(I4/D4,0)</f>
        <v>1</v>
      </c>
    </row>
    <row r="5" spans="1:21" ht="72" customHeight="1">
      <c r="A5" s="17" t="s">
        <v>13</v>
      </c>
      <c r="B5" s="17" t="s">
        <v>6</v>
      </c>
      <c r="C5" s="17" t="s">
        <v>14</v>
      </c>
      <c r="D5" s="17">
        <v>8</v>
      </c>
      <c r="E5" s="17">
        <v>8</v>
      </c>
      <c r="F5" s="17">
        <f>COUNTIF('Sprint 3'!$F$7:$F$14,"Por hacer")</f>
        <v>8</v>
      </c>
      <c r="G5" s="17">
        <f>COUNTIF('Sprint 3'!$F$7:$F$14,"En curso")</f>
        <v>0</v>
      </c>
      <c r="H5" s="17">
        <f>COUNTIF('Sprint 3'!$F$7:$F$14,"En revisión")</f>
        <v>0</v>
      </c>
      <c r="I5" s="17">
        <f>COUNTIF('Sprint 3'!$F$7:$F$14,"Finalizado")</f>
        <v>0</v>
      </c>
      <c r="J5" s="18">
        <f>IFERROR(I5/D5,0)</f>
        <v>0</v>
      </c>
    </row>
    <row r="6" spans="1:21" ht="65" customHeight="1">
      <c r="A6" s="17" t="s">
        <v>15</v>
      </c>
      <c r="B6" s="17" t="s">
        <v>16</v>
      </c>
      <c r="C6" s="17" t="s">
        <v>17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8">
        <f>IF(D6=0,0,I6/D6)</f>
        <v>0</v>
      </c>
    </row>
    <row r="7" spans="1:21" ht="70" customHeight="1">
      <c r="A7" s="17" t="s">
        <v>18</v>
      </c>
      <c r="B7" s="17" t="s">
        <v>16</v>
      </c>
      <c r="C7" s="17" t="s">
        <v>17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8">
        <f>IF(D7=0,0,I7/D7)</f>
        <v>0</v>
      </c>
      <c r="M7" s="30" t="s">
        <v>19</v>
      </c>
      <c r="N7" s="30"/>
      <c r="O7" s="30"/>
      <c r="P7" s="30"/>
      <c r="Q7" s="30"/>
      <c r="R7" s="30"/>
      <c r="S7" s="30"/>
      <c r="T7" s="30"/>
      <c r="U7" s="30"/>
    </row>
    <row r="9" spans="1:21" ht="71" customHeight="1"/>
    <row r="10" spans="1:21" ht="71" customHeight="1"/>
    <row r="11" spans="1:21" ht="45" customHeight="1"/>
  </sheetData>
  <mergeCells count="2">
    <mergeCell ref="A1:J1"/>
    <mergeCell ref="M7:U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B2" sqref="B2:J2"/>
    </sheetView>
  </sheetViews>
  <sheetFormatPr baseColWidth="10" defaultColWidth="8.83203125" defaultRowHeight="15"/>
  <cols>
    <col min="1" max="1" width="13" customWidth="1"/>
    <col min="2" max="2" width="44" customWidth="1"/>
    <col min="3" max="3" width="24" customWidth="1"/>
    <col min="4" max="4" width="18" customWidth="1"/>
    <col min="5" max="5" width="22" customWidth="1"/>
    <col min="6" max="6" width="16" customWidth="1"/>
    <col min="7" max="7" width="12" customWidth="1"/>
    <col min="8" max="8" width="48" customWidth="1"/>
    <col min="9" max="9" width="40" customWidth="1"/>
    <col min="10" max="10" width="34" customWidth="1"/>
  </cols>
  <sheetData>
    <row r="1" spans="1:10" ht="76" customHeight="1">
      <c r="A1" s="31" t="s">
        <v>23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59" customHeight="1">
      <c r="A2" s="20" t="s">
        <v>24</v>
      </c>
      <c r="B2" s="32" t="s">
        <v>20</v>
      </c>
      <c r="C2" s="32"/>
      <c r="D2" s="32"/>
      <c r="E2" s="32"/>
      <c r="F2" s="32"/>
      <c r="G2" s="32"/>
      <c r="H2" s="32"/>
      <c r="I2" s="32"/>
      <c r="J2" s="32"/>
    </row>
    <row r="3" spans="1:10" ht="51" customHeight="1">
      <c r="A3" s="1" t="s">
        <v>1</v>
      </c>
      <c r="B3" s="1" t="s">
        <v>10</v>
      </c>
      <c r="C3" s="1" t="s">
        <v>2</v>
      </c>
      <c r="D3" s="1" t="s">
        <v>11</v>
      </c>
      <c r="E3" s="1" t="s">
        <v>3</v>
      </c>
      <c r="F3" s="1">
        <f>COUNTA(A7:A22)</f>
        <v>16</v>
      </c>
    </row>
    <row r="4" spans="1:10" ht="121" customHeight="1">
      <c r="A4" s="1" t="s">
        <v>25</v>
      </c>
      <c r="B4" s="1" t="s">
        <v>26</v>
      </c>
      <c r="C4" s="1" t="s">
        <v>257</v>
      </c>
      <c r="D4" s="1" t="s">
        <v>258</v>
      </c>
      <c r="E4" s="1" t="s">
        <v>27</v>
      </c>
      <c r="F4" s="1" t="s">
        <v>259</v>
      </c>
    </row>
    <row r="6" spans="1:10" ht="77.25" customHeight="1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2</v>
      </c>
      <c r="G6" s="3" t="s">
        <v>33</v>
      </c>
      <c r="H6" s="3" t="s">
        <v>34</v>
      </c>
      <c r="I6" s="3" t="s">
        <v>35</v>
      </c>
      <c r="J6" s="4" t="s">
        <v>36</v>
      </c>
    </row>
    <row r="7" spans="1:10" ht="120" customHeight="1">
      <c r="A7" s="5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11</v>
      </c>
      <c r="G7" s="6" t="s">
        <v>42</v>
      </c>
      <c r="H7" s="6" t="s">
        <v>43</v>
      </c>
      <c r="I7" s="6" t="s">
        <v>44</v>
      </c>
      <c r="J7" s="7" t="s">
        <v>260</v>
      </c>
    </row>
    <row r="8" spans="1:10" ht="146.75" customHeight="1">
      <c r="A8" s="5" t="s">
        <v>45</v>
      </c>
      <c r="B8" s="6" t="s">
        <v>46</v>
      </c>
      <c r="C8" s="6" t="s">
        <v>47</v>
      </c>
      <c r="D8" s="6" t="s">
        <v>40</v>
      </c>
      <c r="E8" s="6" t="s">
        <v>41</v>
      </c>
      <c r="F8" s="6" t="s">
        <v>11</v>
      </c>
      <c r="G8" s="6" t="s">
        <v>42</v>
      </c>
      <c r="H8" s="6" t="s">
        <v>48</v>
      </c>
      <c r="I8" s="6" t="s">
        <v>49</v>
      </c>
      <c r="J8" s="7" t="s">
        <v>261</v>
      </c>
    </row>
    <row r="9" spans="1:10" ht="120" customHeight="1">
      <c r="A9" s="5" t="s">
        <v>50</v>
      </c>
      <c r="B9" s="6" t="s">
        <v>51</v>
      </c>
      <c r="C9" s="6" t="s">
        <v>39</v>
      </c>
      <c r="D9" s="6" t="s">
        <v>40</v>
      </c>
      <c r="E9" s="6" t="s">
        <v>41</v>
      </c>
      <c r="F9" s="6" t="s">
        <v>11</v>
      </c>
      <c r="G9" s="6" t="s">
        <v>42</v>
      </c>
      <c r="H9" s="6" t="s">
        <v>52</v>
      </c>
      <c r="I9" s="6" t="s">
        <v>53</v>
      </c>
      <c r="J9" s="7" t="s">
        <v>262</v>
      </c>
    </row>
    <row r="10" spans="1:10" ht="130.75" customHeight="1">
      <c r="A10" s="5" t="s">
        <v>54</v>
      </c>
      <c r="B10" s="6" t="s">
        <v>55</v>
      </c>
      <c r="C10" s="6" t="s">
        <v>56</v>
      </c>
      <c r="D10" s="6" t="s">
        <v>40</v>
      </c>
      <c r="E10" s="6" t="s">
        <v>41</v>
      </c>
      <c r="F10" s="6" t="s">
        <v>11</v>
      </c>
      <c r="G10" s="6" t="s">
        <v>57</v>
      </c>
      <c r="H10" s="6" t="s">
        <v>58</v>
      </c>
      <c r="I10" s="6" t="s">
        <v>59</v>
      </c>
      <c r="J10" s="7" t="s">
        <v>263</v>
      </c>
    </row>
    <row r="11" spans="1:10" ht="120" customHeight="1">
      <c r="A11" s="5" t="s">
        <v>60</v>
      </c>
      <c r="B11" s="6" t="s">
        <v>61</v>
      </c>
      <c r="C11" s="6" t="s">
        <v>56</v>
      </c>
      <c r="D11" s="6" t="s">
        <v>40</v>
      </c>
      <c r="E11" s="6" t="s">
        <v>41</v>
      </c>
      <c r="F11" s="6" t="s">
        <v>11</v>
      </c>
      <c r="G11" s="6" t="s">
        <v>42</v>
      </c>
      <c r="H11" s="6" t="s">
        <v>52</v>
      </c>
      <c r="I11" s="6" t="s">
        <v>53</v>
      </c>
      <c r="J11" s="7" t="s">
        <v>264</v>
      </c>
    </row>
    <row r="12" spans="1:10" ht="120" customHeight="1">
      <c r="A12" s="5" t="s">
        <v>62</v>
      </c>
      <c r="B12" s="6" t="s">
        <v>63</v>
      </c>
      <c r="C12" s="6" t="s">
        <v>64</v>
      </c>
      <c r="D12" s="6" t="s">
        <v>40</v>
      </c>
      <c r="E12" s="6" t="s">
        <v>41</v>
      </c>
      <c r="F12" s="6" t="s">
        <v>11</v>
      </c>
      <c r="G12" s="6" t="s">
        <v>57</v>
      </c>
      <c r="H12" s="6" t="s">
        <v>52</v>
      </c>
      <c r="I12" s="6" t="s">
        <v>53</v>
      </c>
      <c r="J12" s="7" t="s">
        <v>265</v>
      </c>
    </row>
    <row r="13" spans="1:10" ht="122.75" customHeight="1">
      <c r="A13" s="5" t="s">
        <v>65</v>
      </c>
      <c r="B13" s="6" t="s">
        <v>66</v>
      </c>
      <c r="C13" s="6" t="s">
        <v>64</v>
      </c>
      <c r="D13" s="6" t="s">
        <v>40</v>
      </c>
      <c r="E13" s="6" t="s">
        <v>67</v>
      </c>
      <c r="F13" s="6" t="s">
        <v>11</v>
      </c>
      <c r="G13" s="6" t="s">
        <v>57</v>
      </c>
      <c r="H13" s="6" t="s">
        <v>68</v>
      </c>
      <c r="I13" s="6" t="s">
        <v>69</v>
      </c>
      <c r="J13" s="7" t="s">
        <v>266</v>
      </c>
    </row>
    <row r="14" spans="1:10" ht="129.25" customHeight="1">
      <c r="A14" s="5" t="s">
        <v>70</v>
      </c>
      <c r="B14" s="6" t="s">
        <v>71</v>
      </c>
      <c r="C14" s="6" t="s">
        <v>64</v>
      </c>
      <c r="D14" s="6" t="s">
        <v>40</v>
      </c>
      <c r="E14" s="6" t="s">
        <v>67</v>
      </c>
      <c r="F14" s="6" t="s">
        <v>11</v>
      </c>
      <c r="G14" s="6" t="s">
        <v>57</v>
      </c>
      <c r="H14" s="6" t="s">
        <v>72</v>
      </c>
      <c r="I14" s="6" t="s">
        <v>73</v>
      </c>
      <c r="J14" s="7" t="s">
        <v>267</v>
      </c>
    </row>
    <row r="15" spans="1:10" ht="130.75" customHeight="1">
      <c r="A15" s="5" t="s">
        <v>74</v>
      </c>
      <c r="B15" s="6" t="s">
        <v>75</v>
      </c>
      <c r="C15" s="6" t="s">
        <v>76</v>
      </c>
      <c r="D15" s="6" t="s">
        <v>40</v>
      </c>
      <c r="E15" s="6" t="s">
        <v>67</v>
      </c>
      <c r="F15" s="6" t="s">
        <v>11</v>
      </c>
      <c r="G15" s="6" t="s">
        <v>77</v>
      </c>
      <c r="H15" s="6" t="s">
        <v>78</v>
      </c>
      <c r="I15" s="6" t="s">
        <v>79</v>
      </c>
      <c r="J15" s="7" t="s">
        <v>268</v>
      </c>
    </row>
    <row r="16" spans="1:10" ht="120" customHeight="1">
      <c r="A16" s="5" t="s">
        <v>80</v>
      </c>
      <c r="B16" s="6" t="s">
        <v>81</v>
      </c>
      <c r="C16" s="6" t="s">
        <v>76</v>
      </c>
      <c r="D16" s="6" t="s">
        <v>40</v>
      </c>
      <c r="E16" s="6" t="s">
        <v>67</v>
      </c>
      <c r="F16" s="6" t="s">
        <v>11</v>
      </c>
      <c r="G16" s="6" t="s">
        <v>57</v>
      </c>
      <c r="H16" s="6" t="s">
        <v>82</v>
      </c>
      <c r="I16" s="6" t="s">
        <v>83</v>
      </c>
      <c r="J16" s="7" t="s">
        <v>269</v>
      </c>
    </row>
    <row r="17" spans="1:10" ht="146.75" customHeight="1">
      <c r="A17" s="5" t="s">
        <v>84</v>
      </c>
      <c r="B17" s="6" t="s">
        <v>85</v>
      </c>
      <c r="C17" s="6" t="s">
        <v>86</v>
      </c>
      <c r="D17" s="6" t="s">
        <v>40</v>
      </c>
      <c r="E17" s="6" t="s">
        <v>67</v>
      </c>
      <c r="F17" s="6" t="s">
        <v>11</v>
      </c>
      <c r="G17" s="6" t="s">
        <v>77</v>
      </c>
      <c r="H17" s="6" t="s">
        <v>87</v>
      </c>
      <c r="I17" s="6" t="s">
        <v>88</v>
      </c>
      <c r="J17" s="7" t="s">
        <v>270</v>
      </c>
    </row>
    <row r="18" spans="1:10" ht="120" customHeight="1">
      <c r="A18" s="5" t="s">
        <v>89</v>
      </c>
      <c r="B18" s="6" t="s">
        <v>90</v>
      </c>
      <c r="C18" s="6" t="s">
        <v>47</v>
      </c>
      <c r="D18" s="6" t="s">
        <v>40</v>
      </c>
      <c r="E18" s="6" t="s">
        <v>91</v>
      </c>
      <c r="F18" s="6" t="s">
        <v>11</v>
      </c>
      <c r="G18" s="6" t="s">
        <v>42</v>
      </c>
      <c r="H18" s="6" t="s">
        <v>92</v>
      </c>
      <c r="I18" s="6" t="s">
        <v>93</v>
      </c>
      <c r="J18" s="7" t="s">
        <v>271</v>
      </c>
    </row>
    <row r="19" spans="1:10" ht="124" customHeight="1">
      <c r="A19" s="5" t="s">
        <v>94</v>
      </c>
      <c r="B19" s="6" t="s">
        <v>95</v>
      </c>
      <c r="C19" s="6" t="s">
        <v>76</v>
      </c>
      <c r="D19" s="6" t="s">
        <v>40</v>
      </c>
      <c r="E19" s="6" t="s">
        <v>91</v>
      </c>
      <c r="F19" s="6" t="s">
        <v>11</v>
      </c>
      <c r="G19" s="6" t="s">
        <v>77</v>
      </c>
      <c r="H19" s="6" t="s">
        <v>96</v>
      </c>
      <c r="I19" s="6" t="s">
        <v>97</v>
      </c>
      <c r="J19" s="7" t="s">
        <v>272</v>
      </c>
    </row>
    <row r="20" spans="1:10" ht="125.25" customHeight="1">
      <c r="A20" s="5" t="s">
        <v>98</v>
      </c>
      <c r="B20" s="6" t="s">
        <v>99</v>
      </c>
      <c r="C20" s="6" t="s">
        <v>100</v>
      </c>
      <c r="D20" s="6" t="s">
        <v>40</v>
      </c>
      <c r="E20" s="6" t="s">
        <v>91</v>
      </c>
      <c r="F20" s="6" t="s">
        <v>11</v>
      </c>
      <c r="G20" s="6" t="s">
        <v>77</v>
      </c>
      <c r="H20" s="6" t="s">
        <v>52</v>
      </c>
      <c r="I20" s="6" t="s">
        <v>53</v>
      </c>
      <c r="J20" s="7" t="s">
        <v>273</v>
      </c>
    </row>
    <row r="21" spans="1:10" ht="120" customHeight="1">
      <c r="A21" s="5" t="s">
        <v>101</v>
      </c>
      <c r="B21" s="6" t="s">
        <v>102</v>
      </c>
      <c r="C21" s="6" t="s">
        <v>100</v>
      </c>
      <c r="D21" s="6" t="s">
        <v>40</v>
      </c>
      <c r="E21" s="6" t="s">
        <v>91</v>
      </c>
      <c r="F21" s="6" t="s">
        <v>11</v>
      </c>
      <c r="G21" s="6" t="s">
        <v>77</v>
      </c>
      <c r="H21" s="6" t="s">
        <v>52</v>
      </c>
      <c r="I21" s="6" t="s">
        <v>53</v>
      </c>
      <c r="J21" s="7" t="s">
        <v>274</v>
      </c>
    </row>
    <row r="22" spans="1:10" ht="120" customHeight="1">
      <c r="A22" s="8" t="s">
        <v>103</v>
      </c>
      <c r="B22" s="9" t="s">
        <v>104</v>
      </c>
      <c r="C22" s="9" t="s">
        <v>105</v>
      </c>
      <c r="D22" s="9" t="s">
        <v>40</v>
      </c>
      <c r="E22" s="9" t="s">
        <v>91</v>
      </c>
      <c r="F22" s="9" t="s">
        <v>11</v>
      </c>
      <c r="G22" s="9" t="s">
        <v>57</v>
      </c>
      <c r="H22" s="9" t="s">
        <v>52</v>
      </c>
      <c r="I22" s="9" t="s">
        <v>106</v>
      </c>
      <c r="J22" s="10" t="s">
        <v>275</v>
      </c>
    </row>
  </sheetData>
  <mergeCells count="2">
    <mergeCell ref="A1:J1"/>
    <mergeCell ref="B2:J2"/>
  </mergeCells>
  <conditionalFormatting sqref="F7:F24">
    <cfRule type="expression" dxfId="29" priority="1">
      <formula>F7="Finalizado"</formula>
    </cfRule>
    <cfRule type="expression" dxfId="28" priority="2">
      <formula>F7="En curso"</formula>
    </cfRule>
    <cfRule type="expression" dxfId="27" priority="3">
      <formula>F7="En revisión"</formula>
    </cfRule>
    <cfRule type="expression" dxfId="26" priority="4">
      <formula>F7="Bloqueado"</formula>
    </cfRule>
  </conditionalFormatting>
  <conditionalFormatting sqref="G7:G24">
    <cfRule type="expression" dxfId="25" priority="5">
      <formula>G7="Alta"</formula>
    </cfRule>
    <cfRule type="expression" dxfId="24" priority="6">
      <formula>G7="Media"</formula>
    </cfRule>
  </conditionalFormatting>
  <dataValidations count="6">
    <dataValidation type="list" sqref="D7:D22" xr:uid="{00000000-0002-0000-0100-000000000000}">
      <formula1>"Épica,Tarea,Subtarea,Historia de usuario"</formula1>
    </dataValidation>
    <dataValidation type="list" sqref="F7:F22" xr:uid="{00000000-0002-0000-0100-000001000000}">
      <formula1>"Por hacer,En curso,En revisión,Finalizado"</formula1>
    </dataValidation>
    <dataValidation type="list" sqref="G7:G22" xr:uid="{00000000-0002-0000-0100-000002000000}">
      <formula1>"Muy alta,Alta,Media,Baja,Muy baja,Por definir"</formula1>
    </dataValidation>
    <dataValidation type="list" sqref="D7:D24" xr:uid="{00000000-0002-0000-0100-000003000000}">
      <formula1>"Historia de usuario,Tarea técnica,Prueba,Documentación,Bug,Mejora"</formula1>
    </dataValidation>
    <dataValidation type="list" sqref="F7:F24" xr:uid="{00000000-0002-0000-0100-000004000000}">
      <formula1>"Por hacer,En curso,En revisión,Finalizado,Bloqueado"</formula1>
    </dataValidation>
    <dataValidation type="list" sqref="G7:G24" xr:uid="{00000000-0002-0000-0100-000005000000}">
      <formula1>"Alta,Media,Baja,Por definir"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abSelected="1" zoomScale="85" workbookViewId="0">
      <selection activeCell="B7" sqref="B7:B30"/>
    </sheetView>
  </sheetViews>
  <sheetFormatPr baseColWidth="10" defaultColWidth="8.83203125" defaultRowHeight="15"/>
  <cols>
    <col min="1" max="1" width="13" customWidth="1"/>
    <col min="2" max="2" width="44" customWidth="1"/>
    <col min="3" max="3" width="24" customWidth="1"/>
    <col min="4" max="4" width="18" customWidth="1"/>
    <col min="5" max="5" width="22" customWidth="1"/>
    <col min="6" max="6" width="16" customWidth="1"/>
    <col min="7" max="7" width="12" customWidth="1"/>
    <col min="8" max="8" width="48" customWidth="1"/>
    <col min="9" max="9" width="40" customWidth="1"/>
    <col min="10" max="10" width="34" customWidth="1"/>
  </cols>
  <sheetData>
    <row r="1" spans="1:10" ht="48" customHeight="1">
      <c r="A1" s="31" t="s">
        <v>107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76" customHeight="1">
      <c r="A2" s="20" t="s">
        <v>24</v>
      </c>
      <c r="B2" s="32" t="s">
        <v>21</v>
      </c>
      <c r="C2" s="32"/>
      <c r="D2" s="32"/>
      <c r="E2" s="32"/>
      <c r="F2" s="32"/>
      <c r="G2" s="32"/>
      <c r="H2" s="32"/>
      <c r="I2" s="32"/>
      <c r="J2" s="32"/>
    </row>
    <row r="3" spans="1:10" ht="70" customHeight="1">
      <c r="A3" s="1" t="s">
        <v>1</v>
      </c>
      <c r="B3" s="1" t="s">
        <v>12</v>
      </c>
      <c r="C3" s="1" t="s">
        <v>2</v>
      </c>
      <c r="D3" s="1" t="s">
        <v>11</v>
      </c>
      <c r="E3" s="1" t="s">
        <v>3</v>
      </c>
      <c r="F3" s="1">
        <f>COUNTA(A7:A30)</f>
        <v>24</v>
      </c>
    </row>
    <row r="4" spans="1:10" ht="101" customHeight="1">
      <c r="A4" s="1" t="s">
        <v>25</v>
      </c>
      <c r="B4" s="1" t="s">
        <v>108</v>
      </c>
      <c r="C4" s="1" t="s">
        <v>257</v>
      </c>
      <c r="D4" s="1" t="s">
        <v>276</v>
      </c>
      <c r="E4" s="1" t="s">
        <v>27</v>
      </c>
      <c r="F4" s="1" t="s">
        <v>259</v>
      </c>
    </row>
    <row r="6" spans="1:10" ht="82.75" customHeight="1">
      <c r="A6" s="11" t="s">
        <v>28</v>
      </c>
      <c r="B6" s="11" t="s">
        <v>29</v>
      </c>
      <c r="C6" s="11" t="s">
        <v>30</v>
      </c>
      <c r="D6" s="11" t="s">
        <v>31</v>
      </c>
      <c r="E6" s="11" t="s">
        <v>32</v>
      </c>
      <c r="F6" s="11" t="s">
        <v>2</v>
      </c>
      <c r="G6" s="11" t="s">
        <v>33</v>
      </c>
      <c r="H6" s="11" t="s">
        <v>34</v>
      </c>
      <c r="I6" s="11" t="s">
        <v>35</v>
      </c>
      <c r="J6" s="11" t="s">
        <v>36</v>
      </c>
    </row>
    <row r="7" spans="1:10" ht="130.75" customHeight="1">
      <c r="A7" s="6" t="s">
        <v>109</v>
      </c>
      <c r="B7" s="6" t="s">
        <v>110</v>
      </c>
      <c r="C7" s="6" t="s">
        <v>86</v>
      </c>
      <c r="D7" s="6" t="s">
        <v>40</v>
      </c>
      <c r="E7" s="6" t="s">
        <v>67</v>
      </c>
      <c r="F7" s="6" t="s">
        <v>11</v>
      </c>
      <c r="G7" s="6" t="s">
        <v>77</v>
      </c>
      <c r="H7" s="6" t="s">
        <v>111</v>
      </c>
      <c r="I7" s="6" t="s">
        <v>112</v>
      </c>
      <c r="J7" s="6" t="s">
        <v>277</v>
      </c>
    </row>
    <row r="8" spans="1:10" ht="126.75" customHeight="1">
      <c r="A8" s="6" t="s">
        <v>113</v>
      </c>
      <c r="B8" s="6" t="s">
        <v>114</v>
      </c>
      <c r="C8" s="6" t="s">
        <v>115</v>
      </c>
      <c r="D8" s="6" t="s">
        <v>40</v>
      </c>
      <c r="E8" s="6" t="s">
        <v>67</v>
      </c>
      <c r="F8" s="6" t="s">
        <v>11</v>
      </c>
      <c r="G8" s="6" t="s">
        <v>57</v>
      </c>
      <c r="H8" s="6" t="s">
        <v>116</v>
      </c>
      <c r="I8" s="6" t="s">
        <v>117</v>
      </c>
      <c r="J8" s="6" t="s">
        <v>278</v>
      </c>
    </row>
    <row r="9" spans="1:10" ht="120" customHeight="1">
      <c r="A9" s="6" t="s">
        <v>118</v>
      </c>
      <c r="B9" s="6" t="s">
        <v>119</v>
      </c>
      <c r="C9" s="6" t="s">
        <v>115</v>
      </c>
      <c r="D9" s="6" t="s">
        <v>40</v>
      </c>
      <c r="E9" s="6" t="s">
        <v>41</v>
      </c>
      <c r="F9" s="6" t="s">
        <v>11</v>
      </c>
      <c r="G9" s="6" t="s">
        <v>57</v>
      </c>
      <c r="H9" s="6" t="s">
        <v>120</v>
      </c>
      <c r="I9" s="6" t="s">
        <v>121</v>
      </c>
      <c r="J9" s="6" t="s">
        <v>279</v>
      </c>
    </row>
    <row r="10" spans="1:10" ht="148" customHeight="1">
      <c r="A10" s="6" t="s">
        <v>122</v>
      </c>
      <c r="B10" s="6" t="s">
        <v>123</v>
      </c>
      <c r="C10" s="6" t="s">
        <v>86</v>
      </c>
      <c r="D10" s="6" t="s">
        <v>40</v>
      </c>
      <c r="E10" s="6" t="s">
        <v>67</v>
      </c>
      <c r="F10" s="6" t="s">
        <v>11</v>
      </c>
      <c r="G10" s="6" t="s">
        <v>77</v>
      </c>
      <c r="H10" s="6" t="s">
        <v>124</v>
      </c>
      <c r="I10" s="6" t="s">
        <v>125</v>
      </c>
      <c r="J10" s="6" t="s">
        <v>280</v>
      </c>
    </row>
    <row r="11" spans="1:10" ht="120" customHeight="1">
      <c r="A11" s="6" t="s">
        <v>126</v>
      </c>
      <c r="B11" s="6" t="s">
        <v>127</v>
      </c>
      <c r="C11" s="6" t="s">
        <v>100</v>
      </c>
      <c r="D11" s="6" t="s">
        <v>40</v>
      </c>
      <c r="E11" s="6" t="s">
        <v>91</v>
      </c>
      <c r="F11" s="6" t="s">
        <v>11</v>
      </c>
      <c r="G11" s="6" t="s">
        <v>77</v>
      </c>
      <c r="H11" s="6" t="s">
        <v>128</v>
      </c>
      <c r="I11" s="6" t="s">
        <v>129</v>
      </c>
      <c r="J11" s="6" t="s">
        <v>281</v>
      </c>
    </row>
    <row r="12" spans="1:10" ht="122.75" customHeight="1">
      <c r="A12" s="6" t="s">
        <v>130</v>
      </c>
      <c r="B12" s="6" t="s">
        <v>131</v>
      </c>
      <c r="C12" s="6" t="s">
        <v>86</v>
      </c>
      <c r="D12" s="6" t="s">
        <v>40</v>
      </c>
      <c r="E12" s="6" t="s">
        <v>67</v>
      </c>
      <c r="F12" s="6" t="s">
        <v>11</v>
      </c>
      <c r="G12" s="6" t="s">
        <v>77</v>
      </c>
      <c r="H12" s="6" t="s">
        <v>132</v>
      </c>
      <c r="I12" s="6" t="s">
        <v>133</v>
      </c>
      <c r="J12" s="6" t="s">
        <v>282</v>
      </c>
    </row>
    <row r="13" spans="1:10" ht="136" customHeight="1">
      <c r="A13" s="6" t="s">
        <v>134</v>
      </c>
      <c r="B13" s="6" t="s">
        <v>135</v>
      </c>
      <c r="C13" s="6" t="s">
        <v>105</v>
      </c>
      <c r="D13" s="6" t="s">
        <v>40</v>
      </c>
      <c r="E13" s="6" t="s">
        <v>91</v>
      </c>
      <c r="F13" s="6" t="s">
        <v>11</v>
      </c>
      <c r="G13" s="6" t="s">
        <v>77</v>
      </c>
      <c r="H13" s="6" t="s">
        <v>136</v>
      </c>
      <c r="I13" s="6" t="s">
        <v>137</v>
      </c>
      <c r="J13" s="6" t="s">
        <v>283</v>
      </c>
    </row>
    <row r="14" spans="1:10" ht="120" customHeight="1">
      <c r="A14" s="6" t="s">
        <v>138</v>
      </c>
      <c r="B14" s="6" t="s">
        <v>139</v>
      </c>
      <c r="C14" s="6" t="s">
        <v>105</v>
      </c>
      <c r="D14" s="6" t="s">
        <v>40</v>
      </c>
      <c r="E14" s="6" t="s">
        <v>41</v>
      </c>
      <c r="F14" s="6" t="s">
        <v>11</v>
      </c>
      <c r="G14" s="6" t="s">
        <v>57</v>
      </c>
      <c r="H14" s="6" t="s">
        <v>140</v>
      </c>
      <c r="I14" s="6" t="s">
        <v>141</v>
      </c>
      <c r="J14" s="6" t="s">
        <v>284</v>
      </c>
    </row>
    <row r="15" spans="1:10" ht="120" customHeight="1">
      <c r="A15" s="6" t="s">
        <v>142</v>
      </c>
      <c r="B15" s="6" t="s">
        <v>143</v>
      </c>
      <c r="C15" s="6" t="s">
        <v>105</v>
      </c>
      <c r="D15" s="6" t="s">
        <v>40</v>
      </c>
      <c r="E15" s="6" t="s">
        <v>67</v>
      </c>
      <c r="F15" s="6" t="s">
        <v>11</v>
      </c>
      <c r="G15" s="6" t="s">
        <v>77</v>
      </c>
      <c r="H15" s="6" t="s">
        <v>144</v>
      </c>
      <c r="I15" s="6" t="s">
        <v>145</v>
      </c>
      <c r="J15" s="6" t="s">
        <v>285</v>
      </c>
    </row>
    <row r="16" spans="1:10" ht="138.75" customHeight="1">
      <c r="A16" s="6" t="s">
        <v>146</v>
      </c>
      <c r="B16" s="6" t="s">
        <v>147</v>
      </c>
      <c r="C16" s="6" t="s">
        <v>105</v>
      </c>
      <c r="D16" s="6" t="s">
        <v>40</v>
      </c>
      <c r="E16" s="6" t="s">
        <v>41</v>
      </c>
      <c r="F16" s="6" t="s">
        <v>11</v>
      </c>
      <c r="G16" s="6" t="s">
        <v>57</v>
      </c>
      <c r="H16" s="6" t="s">
        <v>148</v>
      </c>
      <c r="I16" s="6" t="s">
        <v>149</v>
      </c>
      <c r="J16" s="6" t="s">
        <v>286</v>
      </c>
    </row>
    <row r="17" spans="1:10" ht="124" customHeight="1">
      <c r="A17" s="6" t="s">
        <v>150</v>
      </c>
      <c r="B17" s="6" t="s">
        <v>151</v>
      </c>
      <c r="C17" s="6" t="s">
        <v>105</v>
      </c>
      <c r="D17" s="6" t="s">
        <v>40</v>
      </c>
      <c r="E17" s="6" t="s">
        <v>91</v>
      </c>
      <c r="F17" s="6" t="s">
        <v>11</v>
      </c>
      <c r="G17" s="6" t="s">
        <v>57</v>
      </c>
      <c r="H17" s="6" t="s">
        <v>152</v>
      </c>
      <c r="I17" s="6" t="s">
        <v>153</v>
      </c>
      <c r="J17" s="6" t="s">
        <v>287</v>
      </c>
    </row>
    <row r="18" spans="1:10" ht="120" customHeight="1">
      <c r="A18" s="6" t="s">
        <v>154</v>
      </c>
      <c r="B18" s="6" t="s">
        <v>155</v>
      </c>
      <c r="C18" s="6" t="s">
        <v>105</v>
      </c>
      <c r="D18" s="6" t="s">
        <v>40</v>
      </c>
      <c r="E18" s="6" t="s">
        <v>67</v>
      </c>
      <c r="F18" s="6" t="s">
        <v>11</v>
      </c>
      <c r="G18" s="6" t="s">
        <v>57</v>
      </c>
      <c r="H18" s="6" t="s">
        <v>156</v>
      </c>
      <c r="I18" s="6" t="s">
        <v>157</v>
      </c>
      <c r="J18" s="6" t="s">
        <v>288</v>
      </c>
    </row>
    <row r="19" spans="1:10" ht="120" customHeight="1">
      <c r="A19" s="6" t="s">
        <v>158</v>
      </c>
      <c r="B19" s="6" t="s">
        <v>159</v>
      </c>
      <c r="C19" s="6" t="s">
        <v>105</v>
      </c>
      <c r="D19" s="6" t="s">
        <v>40</v>
      </c>
      <c r="E19" s="6" t="s">
        <v>67</v>
      </c>
      <c r="F19" s="6" t="s">
        <v>11</v>
      </c>
      <c r="G19" s="6" t="s">
        <v>57</v>
      </c>
      <c r="H19" s="6" t="s">
        <v>52</v>
      </c>
      <c r="I19" s="6" t="s">
        <v>160</v>
      </c>
      <c r="J19" s="6" t="s">
        <v>289</v>
      </c>
    </row>
    <row r="20" spans="1:10" ht="120" customHeight="1">
      <c r="A20" s="6" t="s">
        <v>161</v>
      </c>
      <c r="B20" s="6" t="s">
        <v>162</v>
      </c>
      <c r="C20" s="6" t="s">
        <v>105</v>
      </c>
      <c r="D20" s="6" t="s">
        <v>40</v>
      </c>
      <c r="E20" s="6" t="s">
        <v>91</v>
      </c>
      <c r="F20" s="6" t="s">
        <v>11</v>
      </c>
      <c r="G20" s="6" t="s">
        <v>57</v>
      </c>
      <c r="H20" s="6" t="s">
        <v>52</v>
      </c>
      <c r="I20" s="6" t="s">
        <v>163</v>
      </c>
      <c r="J20" s="6" t="s">
        <v>290</v>
      </c>
    </row>
    <row r="21" spans="1:10" ht="120" customHeight="1">
      <c r="A21" s="6" t="s">
        <v>164</v>
      </c>
      <c r="B21" s="6" t="s">
        <v>165</v>
      </c>
      <c r="C21" s="6" t="s">
        <v>105</v>
      </c>
      <c r="D21" s="6" t="s">
        <v>40</v>
      </c>
      <c r="E21" s="6" t="s">
        <v>41</v>
      </c>
      <c r="F21" s="6" t="s">
        <v>11</v>
      </c>
      <c r="G21" s="6" t="s">
        <v>77</v>
      </c>
      <c r="H21" s="6" t="s">
        <v>52</v>
      </c>
      <c r="I21" s="6" t="s">
        <v>166</v>
      </c>
      <c r="J21" s="6" t="s">
        <v>291</v>
      </c>
    </row>
    <row r="22" spans="1:10" ht="120" customHeight="1">
      <c r="A22" s="6" t="s">
        <v>167</v>
      </c>
      <c r="B22" s="6" t="s">
        <v>168</v>
      </c>
      <c r="C22" s="6" t="s">
        <v>86</v>
      </c>
      <c r="D22" s="6" t="s">
        <v>40</v>
      </c>
      <c r="E22" s="6" t="s">
        <v>41</v>
      </c>
      <c r="F22" s="6" t="s">
        <v>11</v>
      </c>
      <c r="G22" s="6" t="s">
        <v>77</v>
      </c>
      <c r="H22" s="6" t="s">
        <v>52</v>
      </c>
      <c r="I22" s="6" t="s">
        <v>166</v>
      </c>
      <c r="J22" s="6" t="s">
        <v>292</v>
      </c>
    </row>
    <row r="23" spans="1:10" ht="120" customHeight="1">
      <c r="A23" s="6" t="s">
        <v>169</v>
      </c>
      <c r="B23" s="6" t="s">
        <v>170</v>
      </c>
      <c r="C23" s="6" t="s">
        <v>105</v>
      </c>
      <c r="D23" s="6" t="s">
        <v>40</v>
      </c>
      <c r="E23" s="6" t="s">
        <v>91</v>
      </c>
      <c r="F23" s="6" t="s">
        <v>11</v>
      </c>
      <c r="G23" s="6" t="s">
        <v>77</v>
      </c>
      <c r="H23" s="6" t="s">
        <v>52</v>
      </c>
      <c r="I23" s="6" t="s">
        <v>166</v>
      </c>
      <c r="J23" s="6" t="s">
        <v>293</v>
      </c>
    </row>
    <row r="24" spans="1:10" ht="120" customHeight="1">
      <c r="A24" s="6" t="s">
        <v>171</v>
      </c>
      <c r="B24" s="6" t="s">
        <v>172</v>
      </c>
      <c r="C24" s="6" t="s">
        <v>105</v>
      </c>
      <c r="D24" s="6" t="s">
        <v>40</v>
      </c>
      <c r="E24" s="6" t="s">
        <v>41</v>
      </c>
      <c r="F24" s="6" t="s">
        <v>11</v>
      </c>
      <c r="G24" s="6" t="s">
        <v>77</v>
      </c>
      <c r="H24" s="6" t="s">
        <v>52</v>
      </c>
      <c r="I24" s="6" t="s">
        <v>173</v>
      </c>
      <c r="J24" s="6" t="s">
        <v>294</v>
      </c>
    </row>
    <row r="25" spans="1:10" ht="120" customHeight="1">
      <c r="A25" s="6" t="s">
        <v>174</v>
      </c>
      <c r="B25" s="6" t="s">
        <v>175</v>
      </c>
      <c r="C25" s="6" t="s">
        <v>105</v>
      </c>
      <c r="D25" s="6" t="s">
        <v>40</v>
      </c>
      <c r="E25" s="6" t="s">
        <v>67</v>
      </c>
      <c r="F25" s="6" t="s">
        <v>11</v>
      </c>
      <c r="G25" s="6" t="s">
        <v>42</v>
      </c>
      <c r="H25" s="6" t="s">
        <v>52</v>
      </c>
      <c r="I25" s="6" t="s">
        <v>173</v>
      </c>
      <c r="J25" s="6" t="s">
        <v>295</v>
      </c>
    </row>
    <row r="26" spans="1:10" ht="120" customHeight="1">
      <c r="A26" s="6" t="s">
        <v>176</v>
      </c>
      <c r="B26" s="6" t="s">
        <v>177</v>
      </c>
      <c r="C26" s="6" t="s">
        <v>105</v>
      </c>
      <c r="D26" s="6" t="s">
        <v>40</v>
      </c>
      <c r="E26" s="6" t="s">
        <v>41</v>
      </c>
      <c r="F26" s="6" t="s">
        <v>11</v>
      </c>
      <c r="G26" s="6" t="s">
        <v>77</v>
      </c>
      <c r="H26" s="6" t="s">
        <v>52</v>
      </c>
      <c r="I26" s="6" t="s">
        <v>178</v>
      </c>
      <c r="J26" s="6" t="s">
        <v>296</v>
      </c>
    </row>
    <row r="27" spans="1:10" ht="120" customHeight="1">
      <c r="A27" s="6" t="s">
        <v>179</v>
      </c>
      <c r="B27" s="6" t="s">
        <v>180</v>
      </c>
      <c r="C27" s="6" t="s">
        <v>105</v>
      </c>
      <c r="D27" s="6" t="s">
        <v>40</v>
      </c>
      <c r="E27" s="6" t="s">
        <v>41</v>
      </c>
      <c r="F27" s="6" t="s">
        <v>11</v>
      </c>
      <c r="G27" s="6" t="s">
        <v>57</v>
      </c>
      <c r="H27" s="6" t="s">
        <v>52</v>
      </c>
      <c r="I27" s="6" t="s">
        <v>178</v>
      </c>
      <c r="J27" s="6" t="s">
        <v>297</v>
      </c>
    </row>
    <row r="28" spans="1:10" ht="121.25" customHeight="1">
      <c r="A28" s="6" t="s">
        <v>181</v>
      </c>
      <c r="B28" s="6" t="s">
        <v>182</v>
      </c>
      <c r="C28" s="6" t="s">
        <v>183</v>
      </c>
      <c r="D28" s="6" t="s">
        <v>40</v>
      </c>
      <c r="E28" s="6" t="s">
        <v>91</v>
      </c>
      <c r="F28" s="6" t="s">
        <v>11</v>
      </c>
      <c r="G28" s="6" t="s">
        <v>57</v>
      </c>
      <c r="H28" s="6" t="s">
        <v>52</v>
      </c>
      <c r="I28" s="6" t="s">
        <v>178</v>
      </c>
      <c r="J28" s="6" t="s">
        <v>298</v>
      </c>
    </row>
    <row r="29" spans="1:10" ht="120" customHeight="1">
      <c r="A29" s="6" t="s">
        <v>184</v>
      </c>
      <c r="B29" s="6" t="s">
        <v>185</v>
      </c>
      <c r="C29" s="6" t="s">
        <v>105</v>
      </c>
      <c r="D29" s="6" t="s">
        <v>40</v>
      </c>
      <c r="E29" s="6" t="s">
        <v>67</v>
      </c>
      <c r="F29" s="6" t="s">
        <v>11</v>
      </c>
      <c r="G29" s="6" t="s">
        <v>57</v>
      </c>
      <c r="H29" s="6" t="s">
        <v>52</v>
      </c>
      <c r="I29" s="6" t="s">
        <v>178</v>
      </c>
      <c r="J29" s="6" t="s">
        <v>299</v>
      </c>
    </row>
    <row r="30" spans="1:10" ht="215" customHeight="1">
      <c r="A30" s="6" t="s">
        <v>186</v>
      </c>
      <c r="B30" s="6" t="s">
        <v>187</v>
      </c>
      <c r="C30" s="6" t="s">
        <v>105</v>
      </c>
      <c r="D30" s="6" t="s">
        <v>40</v>
      </c>
      <c r="E30" s="6" t="s">
        <v>91</v>
      </c>
      <c r="F30" s="6" t="s">
        <v>11</v>
      </c>
      <c r="G30" s="6" t="s">
        <v>77</v>
      </c>
      <c r="H30" s="6" t="s">
        <v>52</v>
      </c>
      <c r="I30" s="6" t="s">
        <v>178</v>
      </c>
      <c r="J30" s="6" t="s">
        <v>300</v>
      </c>
    </row>
  </sheetData>
  <mergeCells count="2">
    <mergeCell ref="A1:J1"/>
    <mergeCell ref="B2:J2"/>
  </mergeCells>
  <conditionalFormatting sqref="F7:F30">
    <cfRule type="expression" dxfId="23" priority="1">
      <formula>F7="Finalizado"</formula>
    </cfRule>
    <cfRule type="expression" dxfId="22" priority="2">
      <formula>F7="En curso"</formula>
    </cfRule>
    <cfRule type="expression" dxfId="21" priority="3">
      <formula>F7="En revisión"</formula>
    </cfRule>
    <cfRule type="expression" dxfId="20" priority="4">
      <formula>F7="Bloqueado"</formula>
    </cfRule>
  </conditionalFormatting>
  <conditionalFormatting sqref="G7:G30">
    <cfRule type="expression" dxfId="19" priority="5">
      <formula>G7="Alta"</formula>
    </cfRule>
    <cfRule type="expression" dxfId="18" priority="6">
      <formula>G7="Media"</formula>
    </cfRule>
  </conditionalFormatting>
  <dataValidations count="3">
    <dataValidation type="list" sqref="D7:D30" xr:uid="{00000000-0002-0000-0200-000000000000}">
      <formula1>"Épica,Tarea,Subtarea,Historia de usuario"</formula1>
    </dataValidation>
    <dataValidation type="list" sqref="F7:F30" xr:uid="{00000000-0002-0000-0200-000001000000}">
      <formula1>"Por hacer,En curso,En revisión,Finalizado"</formula1>
    </dataValidation>
    <dataValidation type="list" sqref="G7:G30" xr:uid="{00000000-0002-0000-0200-000002000000}">
      <formula1>"Muy alta,Alta,Media,Baja,Muy baja,Por definir"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zoomScale="69" workbookViewId="0">
      <selection activeCell="C4" sqref="C4"/>
    </sheetView>
  </sheetViews>
  <sheetFormatPr baseColWidth="10" defaultColWidth="8.83203125" defaultRowHeight="15"/>
  <cols>
    <col min="1" max="1" width="13" customWidth="1"/>
    <col min="2" max="2" width="44" customWidth="1"/>
    <col min="3" max="3" width="24" customWidth="1"/>
    <col min="4" max="4" width="18" customWidth="1"/>
    <col min="5" max="5" width="22" customWidth="1"/>
    <col min="6" max="6" width="16" customWidth="1"/>
    <col min="7" max="7" width="12" customWidth="1"/>
    <col min="8" max="8" width="48" customWidth="1"/>
    <col min="9" max="9" width="40" customWidth="1"/>
    <col min="10" max="10" width="34" customWidth="1"/>
  </cols>
  <sheetData>
    <row r="1" spans="1:10" ht="57" customHeight="1">
      <c r="A1" s="31" t="s">
        <v>188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53.25" customHeight="1">
      <c r="A2" t="s">
        <v>24</v>
      </c>
      <c r="B2" s="33" t="s">
        <v>22</v>
      </c>
      <c r="C2" s="33"/>
      <c r="D2" s="33"/>
      <c r="E2" s="33"/>
      <c r="F2" s="33"/>
    </row>
    <row r="3" spans="1:10" ht="70" customHeight="1">
      <c r="A3" s="1" t="s">
        <v>1</v>
      </c>
      <c r="B3" s="1" t="s">
        <v>13</v>
      </c>
      <c r="C3" s="1" t="s">
        <v>2</v>
      </c>
      <c r="D3" s="1" t="s">
        <v>6</v>
      </c>
      <c r="E3" s="1" t="s">
        <v>3</v>
      </c>
      <c r="F3" s="1">
        <v>8</v>
      </c>
      <c r="G3" s="21" t="s">
        <v>189</v>
      </c>
      <c r="H3" s="22" t="s">
        <v>190</v>
      </c>
    </row>
    <row r="4" spans="1:10" ht="77" customHeight="1">
      <c r="A4" s="1" t="s">
        <v>25</v>
      </c>
      <c r="B4" s="1" t="s">
        <v>14</v>
      </c>
      <c r="C4" s="1" t="s">
        <v>191</v>
      </c>
      <c r="D4" s="1" t="s">
        <v>192</v>
      </c>
      <c r="E4" s="1" t="s">
        <v>27</v>
      </c>
      <c r="F4" s="1" t="s">
        <v>193</v>
      </c>
      <c r="G4" s="21" t="s">
        <v>194</v>
      </c>
      <c r="H4" s="22" t="s">
        <v>195</v>
      </c>
    </row>
    <row r="6" spans="1:10" ht="41" customHeight="1">
      <c r="A6" s="15" t="s">
        <v>28</v>
      </c>
      <c r="B6" s="15" t="s">
        <v>29</v>
      </c>
      <c r="C6" s="15" t="s">
        <v>30</v>
      </c>
      <c r="D6" s="15" t="s">
        <v>31</v>
      </c>
      <c r="E6" s="15" t="s">
        <v>32</v>
      </c>
      <c r="F6" s="15" t="s">
        <v>2</v>
      </c>
      <c r="G6" s="15" t="s">
        <v>33</v>
      </c>
      <c r="H6" s="15" t="s">
        <v>34</v>
      </c>
      <c r="I6" s="15" t="s">
        <v>35</v>
      </c>
      <c r="J6" s="15" t="s">
        <v>36</v>
      </c>
    </row>
    <row r="7" spans="1:10" ht="70" customHeight="1">
      <c r="A7" s="24" t="s">
        <v>196</v>
      </c>
      <c r="B7" s="24" t="s">
        <v>197</v>
      </c>
      <c r="C7" s="24" t="s">
        <v>198</v>
      </c>
      <c r="D7" s="24" t="s">
        <v>40</v>
      </c>
      <c r="E7" s="24" t="s">
        <v>91</v>
      </c>
      <c r="F7" s="24" t="s">
        <v>5</v>
      </c>
      <c r="G7" s="25" t="s">
        <v>42</v>
      </c>
      <c r="H7" s="24" t="s">
        <v>199</v>
      </c>
      <c r="I7" s="24" t="s">
        <v>200</v>
      </c>
      <c r="J7" s="24" t="s">
        <v>201</v>
      </c>
    </row>
    <row r="8" spans="1:10" ht="73" customHeight="1">
      <c r="A8" s="26" t="s">
        <v>202</v>
      </c>
      <c r="B8" s="26" t="s">
        <v>203</v>
      </c>
      <c r="C8" s="26" t="s">
        <v>204</v>
      </c>
      <c r="D8" s="26" t="s">
        <v>40</v>
      </c>
      <c r="E8" s="26" t="s">
        <v>41</v>
      </c>
      <c r="F8" s="26" t="s">
        <v>5</v>
      </c>
      <c r="G8" s="27" t="s">
        <v>77</v>
      </c>
      <c r="H8" s="26" t="s">
        <v>205</v>
      </c>
      <c r="I8" s="26" t="s">
        <v>206</v>
      </c>
      <c r="J8" s="26" t="s">
        <v>201</v>
      </c>
    </row>
    <row r="9" spans="1:10" ht="73" customHeight="1">
      <c r="A9" s="24" t="s">
        <v>207</v>
      </c>
      <c r="B9" s="24" t="s">
        <v>208</v>
      </c>
      <c r="C9" s="24" t="s">
        <v>204</v>
      </c>
      <c r="D9" s="24" t="s">
        <v>40</v>
      </c>
      <c r="E9" s="24" t="s">
        <v>41</v>
      </c>
      <c r="F9" s="24" t="s">
        <v>5</v>
      </c>
      <c r="G9" s="28" t="s">
        <v>57</v>
      </c>
      <c r="H9" s="24" t="s">
        <v>209</v>
      </c>
      <c r="I9" s="24" t="s">
        <v>210</v>
      </c>
      <c r="J9" s="24" t="s">
        <v>201</v>
      </c>
    </row>
    <row r="10" spans="1:10" ht="70" customHeight="1">
      <c r="A10" s="26" t="s">
        <v>211</v>
      </c>
      <c r="B10" s="26" t="s">
        <v>212</v>
      </c>
      <c r="C10" s="26" t="s">
        <v>213</v>
      </c>
      <c r="D10" s="26" t="s">
        <v>40</v>
      </c>
      <c r="E10" s="26" t="s">
        <v>91</v>
      </c>
      <c r="F10" s="26" t="s">
        <v>5</v>
      </c>
      <c r="G10" s="27" t="s">
        <v>77</v>
      </c>
      <c r="H10" s="26" t="s">
        <v>214</v>
      </c>
      <c r="I10" s="26" t="s">
        <v>215</v>
      </c>
      <c r="J10" s="26" t="s">
        <v>201</v>
      </c>
    </row>
    <row r="11" spans="1:10" ht="73" customHeight="1">
      <c r="A11" s="24" t="s">
        <v>216</v>
      </c>
      <c r="B11" s="24" t="s">
        <v>217</v>
      </c>
      <c r="C11" s="24" t="s">
        <v>86</v>
      </c>
      <c r="D11" s="24" t="s">
        <v>40</v>
      </c>
      <c r="E11" s="24" t="s">
        <v>67</v>
      </c>
      <c r="F11" s="24" t="s">
        <v>5</v>
      </c>
      <c r="G11" s="27" t="s">
        <v>77</v>
      </c>
      <c r="H11" s="24" t="s">
        <v>218</v>
      </c>
      <c r="I11" s="24" t="s">
        <v>219</v>
      </c>
      <c r="J11" s="24" t="s">
        <v>201</v>
      </c>
    </row>
    <row r="12" spans="1:10" ht="69" customHeight="1">
      <c r="A12" s="26" t="s">
        <v>220</v>
      </c>
      <c r="B12" s="26" t="s">
        <v>221</v>
      </c>
      <c r="C12" s="26" t="s">
        <v>222</v>
      </c>
      <c r="D12" s="26" t="s">
        <v>40</v>
      </c>
      <c r="E12" s="26" t="s">
        <v>67</v>
      </c>
      <c r="F12" s="26" t="s">
        <v>5</v>
      </c>
      <c r="G12" s="27" t="s">
        <v>77</v>
      </c>
      <c r="H12" s="26" t="s">
        <v>223</v>
      </c>
      <c r="I12" s="26" t="s">
        <v>210</v>
      </c>
      <c r="J12" s="26" t="s">
        <v>201</v>
      </c>
    </row>
    <row r="13" spans="1:10" ht="60" customHeight="1">
      <c r="A13" s="24" t="s">
        <v>224</v>
      </c>
      <c r="B13" s="24" t="s">
        <v>225</v>
      </c>
      <c r="C13" s="24" t="s">
        <v>226</v>
      </c>
      <c r="D13" s="24" t="s">
        <v>40</v>
      </c>
      <c r="E13" s="24" t="s">
        <v>91</v>
      </c>
      <c r="F13" s="24" t="s">
        <v>5</v>
      </c>
      <c r="G13" s="27" t="s">
        <v>77</v>
      </c>
      <c r="H13" s="24" t="s">
        <v>227</v>
      </c>
      <c r="I13" s="24" t="s">
        <v>228</v>
      </c>
      <c r="J13" s="24" t="s">
        <v>201</v>
      </c>
    </row>
    <row r="14" spans="1:10" ht="73" customHeight="1">
      <c r="A14" s="26" t="s">
        <v>229</v>
      </c>
      <c r="B14" s="26" t="s">
        <v>230</v>
      </c>
      <c r="C14" s="26" t="s">
        <v>231</v>
      </c>
      <c r="D14" s="26" t="s">
        <v>40</v>
      </c>
      <c r="E14" s="26" t="s">
        <v>67</v>
      </c>
      <c r="F14" s="26" t="s">
        <v>5</v>
      </c>
      <c r="G14" s="28" t="s">
        <v>57</v>
      </c>
      <c r="H14" s="26" t="s">
        <v>232</v>
      </c>
      <c r="I14" s="26" t="s">
        <v>233</v>
      </c>
      <c r="J14" s="26" t="s">
        <v>201</v>
      </c>
    </row>
  </sheetData>
  <mergeCells count="2">
    <mergeCell ref="A1:J1"/>
    <mergeCell ref="B2:F2"/>
  </mergeCells>
  <conditionalFormatting sqref="F7:F27">
    <cfRule type="expression" dxfId="17" priority="1">
      <formula>F7="Finalizado"</formula>
    </cfRule>
    <cfRule type="expression" dxfId="16" priority="2">
      <formula>F7="En curso"</formula>
    </cfRule>
    <cfRule type="expression" dxfId="15" priority="3">
      <formula>F7="En revisión"</formula>
    </cfRule>
    <cfRule type="expression" dxfId="14" priority="4">
      <formula>F7="Bloqueado"</formula>
    </cfRule>
  </conditionalFormatting>
  <conditionalFormatting sqref="G7:G27">
    <cfRule type="expression" dxfId="13" priority="5">
      <formula>G7="Alta"</formula>
    </cfRule>
    <cfRule type="expression" dxfId="12" priority="6">
      <formula>G7="Media"</formula>
    </cfRule>
  </conditionalFormatting>
  <dataValidations count="3">
    <dataValidation type="list" sqref="D7:D27" xr:uid="{00000000-0002-0000-0300-000000000000}">
      <formula1>"Historia de usuario,Tarea técnica,Prueba,Documentación,Bug,Mejora"</formula1>
    </dataValidation>
    <dataValidation type="list" sqref="F7:F27" xr:uid="{00000000-0002-0000-0300-000001000000}">
      <formula1>"Por hacer,En curso,En revisión,Finalizado,Bloqueado"</formula1>
    </dataValidation>
    <dataValidation type="list" sqref="G7:G27" xr:uid="{00000000-0002-0000-0300-000002000000}">
      <formula1>"Alta,Media,Baja,Por definir"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sqref="A1:J1"/>
    </sheetView>
  </sheetViews>
  <sheetFormatPr baseColWidth="10" defaultColWidth="8.83203125" defaultRowHeight="15"/>
  <cols>
    <col min="1" max="1" width="13" customWidth="1"/>
    <col min="2" max="2" width="44" customWidth="1"/>
    <col min="3" max="3" width="24" customWidth="1"/>
    <col min="4" max="4" width="18" customWidth="1"/>
    <col min="5" max="5" width="22" customWidth="1"/>
    <col min="6" max="6" width="16" customWidth="1"/>
    <col min="7" max="7" width="12" customWidth="1"/>
    <col min="8" max="8" width="48" customWidth="1"/>
    <col min="9" max="9" width="40" customWidth="1"/>
    <col min="10" max="10" width="34" customWidth="1"/>
  </cols>
  <sheetData>
    <row r="1" spans="1:10" ht="59" customHeight="1">
      <c r="A1" s="31" t="s">
        <v>234</v>
      </c>
      <c r="B1" s="31"/>
      <c r="C1" s="31"/>
      <c r="D1" s="31"/>
      <c r="E1" s="31"/>
      <c r="F1" s="31"/>
      <c r="G1" s="31"/>
      <c r="H1" s="31"/>
      <c r="I1" s="31"/>
      <c r="J1" s="31"/>
    </row>
    <row r="2" spans="1:10">
      <c r="A2" s="13"/>
      <c r="B2" s="13"/>
      <c r="C2" s="13"/>
      <c r="D2" s="13"/>
      <c r="E2" s="13"/>
      <c r="F2" s="13"/>
    </row>
    <row r="3" spans="1:10" ht="76" customHeight="1">
      <c r="A3" s="1" t="s">
        <v>1</v>
      </c>
      <c r="B3" s="1" t="s">
        <v>15</v>
      </c>
      <c r="C3" s="1" t="s">
        <v>2</v>
      </c>
      <c r="D3" s="1" t="s">
        <v>16</v>
      </c>
      <c r="E3" s="1" t="s">
        <v>3</v>
      </c>
      <c r="F3" s="1">
        <v>0</v>
      </c>
    </row>
    <row r="4" spans="1:10" ht="89" customHeight="1">
      <c r="A4" s="1" t="s">
        <v>235</v>
      </c>
      <c r="B4" s="1" t="s">
        <v>17</v>
      </c>
      <c r="C4" s="1" t="s">
        <v>191</v>
      </c>
      <c r="D4" s="1" t="s">
        <v>192</v>
      </c>
      <c r="E4" s="1" t="s">
        <v>27</v>
      </c>
      <c r="F4" s="1" t="s">
        <v>193</v>
      </c>
    </row>
    <row r="6" spans="1:10" ht="37" customHeight="1">
      <c r="A6" s="15" t="s">
        <v>28</v>
      </c>
      <c r="B6" s="15" t="s">
        <v>29</v>
      </c>
      <c r="C6" s="15" t="s">
        <v>30</v>
      </c>
      <c r="D6" s="15" t="s">
        <v>31</v>
      </c>
      <c r="E6" s="15" t="s">
        <v>32</v>
      </c>
      <c r="F6" s="15" t="s">
        <v>2</v>
      </c>
      <c r="G6" s="15" t="s">
        <v>33</v>
      </c>
      <c r="H6" s="15" t="s">
        <v>34</v>
      </c>
      <c r="I6" s="15" t="s">
        <v>35</v>
      </c>
      <c r="J6" s="15" t="s">
        <v>36</v>
      </c>
    </row>
    <row r="7" spans="1:10" ht="153" customHeight="1">
      <c r="A7" s="14"/>
      <c r="B7" s="14" t="s">
        <v>236</v>
      </c>
      <c r="C7" s="14"/>
      <c r="D7" s="14"/>
      <c r="E7" s="14"/>
      <c r="F7" s="14"/>
      <c r="G7" s="14"/>
      <c r="H7" s="14"/>
      <c r="I7" s="14" t="s">
        <v>237</v>
      </c>
      <c r="J7" s="14"/>
    </row>
  </sheetData>
  <mergeCells count="1">
    <mergeCell ref="A1:J1"/>
  </mergeCells>
  <conditionalFormatting sqref="F7:F30">
    <cfRule type="expression" dxfId="11" priority="1">
      <formula>F7="Finalizado"</formula>
    </cfRule>
    <cfRule type="expression" dxfId="10" priority="2">
      <formula>F7="En curso"</formula>
    </cfRule>
    <cfRule type="expression" dxfId="9" priority="3">
      <formula>F7="En revisión"</formula>
    </cfRule>
    <cfRule type="expression" dxfId="8" priority="4">
      <formula>F7="Bloqueado"</formula>
    </cfRule>
  </conditionalFormatting>
  <conditionalFormatting sqref="G7:G30">
    <cfRule type="expression" dxfId="7" priority="5">
      <formula>G7="Alta"</formula>
    </cfRule>
    <cfRule type="expression" dxfId="6" priority="6">
      <formula>G7="Media"</formula>
    </cfRule>
  </conditionalFormatting>
  <dataValidations count="3">
    <dataValidation type="list" sqref="D7:D30" xr:uid="{00000000-0002-0000-0400-000000000000}">
      <formula1>"Historia de usuario,Tarea técnica,Prueba,Documentación,Bug,Mejora"</formula1>
    </dataValidation>
    <dataValidation type="list" sqref="F7:F30" xr:uid="{00000000-0002-0000-0400-000001000000}">
      <formula1>"Por hacer,En curso,En revisión,Finalizado,Bloqueado"</formula1>
    </dataValidation>
    <dataValidation type="list" sqref="G7:G30" xr:uid="{00000000-0002-0000-0400-000002000000}">
      <formula1>"Alta,Media,Baja,Por definir"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C6" sqref="C6"/>
    </sheetView>
  </sheetViews>
  <sheetFormatPr baseColWidth="10" defaultColWidth="8.83203125" defaultRowHeight="15"/>
  <cols>
    <col min="1" max="1" width="13" customWidth="1"/>
    <col min="2" max="2" width="34" customWidth="1"/>
    <col min="3" max="3" width="24" customWidth="1"/>
    <col min="4" max="4" width="18" customWidth="1"/>
    <col min="5" max="5" width="22" customWidth="1"/>
    <col min="6" max="6" width="16" customWidth="1"/>
    <col min="7" max="7" width="12" customWidth="1"/>
    <col min="8" max="8" width="48" customWidth="1"/>
    <col min="9" max="9" width="40" customWidth="1"/>
    <col min="10" max="10" width="34" customWidth="1"/>
  </cols>
  <sheetData>
    <row r="1" spans="1:10" ht="117.75" customHeight="1">
      <c r="A1" s="31" t="s">
        <v>238</v>
      </c>
      <c r="B1" s="31"/>
      <c r="C1" s="31"/>
      <c r="D1" s="31"/>
      <c r="E1" s="31"/>
      <c r="F1" s="31"/>
      <c r="G1" s="31"/>
      <c r="H1" s="31"/>
      <c r="I1" s="31"/>
      <c r="J1" s="31"/>
    </row>
    <row r="3" spans="1:10" ht="60" customHeight="1">
      <c r="A3" s="1" t="s">
        <v>1</v>
      </c>
      <c r="B3" s="1" t="s">
        <v>18</v>
      </c>
      <c r="C3" s="1" t="s">
        <v>2</v>
      </c>
      <c r="D3" s="1" t="s">
        <v>16</v>
      </c>
      <c r="E3" s="1" t="s">
        <v>3</v>
      </c>
      <c r="F3" s="1">
        <v>0</v>
      </c>
    </row>
    <row r="4" spans="1:10" ht="82" customHeight="1">
      <c r="A4" s="1" t="s">
        <v>235</v>
      </c>
      <c r="B4" s="1" t="s">
        <v>17</v>
      </c>
      <c r="C4" s="1" t="s">
        <v>191</v>
      </c>
      <c r="D4" s="1" t="s">
        <v>192</v>
      </c>
      <c r="E4" s="1" t="s">
        <v>27</v>
      </c>
      <c r="F4" s="1" t="s">
        <v>193</v>
      </c>
    </row>
    <row r="6" spans="1:10" ht="57" customHeight="1">
      <c r="A6" s="15" t="s">
        <v>28</v>
      </c>
      <c r="B6" s="15" t="s">
        <v>29</v>
      </c>
      <c r="C6" s="15" t="s">
        <v>30</v>
      </c>
      <c r="D6" s="15" t="s">
        <v>31</v>
      </c>
      <c r="E6" s="15" t="s">
        <v>32</v>
      </c>
      <c r="F6" s="15" t="s">
        <v>2</v>
      </c>
      <c r="G6" s="15" t="s">
        <v>33</v>
      </c>
      <c r="H6" s="15" t="s">
        <v>34</v>
      </c>
      <c r="I6" s="15" t="s">
        <v>35</v>
      </c>
      <c r="J6" s="15" t="s">
        <v>36</v>
      </c>
    </row>
    <row r="7" spans="1:10" ht="130" customHeight="1">
      <c r="A7" s="14"/>
      <c r="B7" s="14" t="s">
        <v>236</v>
      </c>
      <c r="C7" s="14"/>
      <c r="D7" s="14"/>
      <c r="E7" s="14"/>
      <c r="F7" s="14"/>
      <c r="G7" s="14"/>
      <c r="H7" s="14"/>
      <c r="I7" s="14" t="s">
        <v>237</v>
      </c>
      <c r="J7" s="14"/>
    </row>
  </sheetData>
  <mergeCells count="1">
    <mergeCell ref="A1:J1"/>
  </mergeCells>
  <conditionalFormatting sqref="F7:F27">
    <cfRule type="expression" dxfId="5" priority="1">
      <formula>F7="Finalizado"</formula>
    </cfRule>
    <cfRule type="expression" dxfId="4" priority="2">
      <formula>F7="En curso"</formula>
    </cfRule>
    <cfRule type="expression" dxfId="3" priority="3">
      <formula>F7="En revisión"</formula>
    </cfRule>
    <cfRule type="expression" dxfId="2" priority="4">
      <formula>F7="Bloqueado"</formula>
    </cfRule>
  </conditionalFormatting>
  <conditionalFormatting sqref="G7:G27">
    <cfRule type="expression" dxfId="1" priority="5">
      <formula>G7="Alta"</formula>
    </cfRule>
    <cfRule type="expression" dxfId="0" priority="6">
      <formula>G7="Media"</formula>
    </cfRule>
  </conditionalFormatting>
  <dataValidations count="3">
    <dataValidation type="list" sqref="D7:D27" xr:uid="{00000000-0002-0000-0500-000000000000}">
      <formula1>"Historia de usuario,Tarea técnica,Prueba,Documentación,Bug,Mejora"</formula1>
    </dataValidation>
    <dataValidation type="list" sqref="F7:F27" xr:uid="{00000000-0002-0000-0500-000001000000}">
      <formula1>"Por hacer,En curso,En revisión,Finalizado,Bloqueado"</formula1>
    </dataValidation>
    <dataValidation type="list" sqref="G7:G27" xr:uid="{00000000-0002-0000-0500-000002000000}">
      <formula1>"Alta,Media,Baja,Por definir"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selection activeCell="B7" sqref="B7"/>
    </sheetView>
  </sheetViews>
  <sheetFormatPr baseColWidth="10" defaultColWidth="8.83203125" defaultRowHeight="15"/>
  <cols>
    <col min="1" max="1" width="24" customWidth="1"/>
    <col min="2" max="2" width="35.1640625" customWidth="1"/>
  </cols>
  <sheetData>
    <row r="1" spans="1:6" ht="78.75" customHeight="1">
      <c r="A1" s="31" t="s">
        <v>239</v>
      </c>
      <c r="B1" s="31"/>
      <c r="C1" s="31"/>
      <c r="D1" s="31"/>
      <c r="E1" s="31"/>
      <c r="F1" s="31"/>
    </row>
    <row r="3" spans="1:6" ht="70" customHeight="1">
      <c r="A3" s="11" t="s">
        <v>240</v>
      </c>
      <c r="B3" s="11" t="s">
        <v>241</v>
      </c>
    </row>
    <row r="4" spans="1:6" ht="82" customHeight="1">
      <c r="A4" s="12" t="s">
        <v>242</v>
      </c>
      <c r="B4" s="12" t="s">
        <v>243</v>
      </c>
    </row>
    <row r="5" spans="1:6" ht="95" customHeight="1">
      <c r="A5" s="12" t="s">
        <v>244</v>
      </c>
      <c r="B5" s="12" t="s">
        <v>245</v>
      </c>
    </row>
    <row r="6" spans="1:6" ht="85" customHeight="1">
      <c r="A6" s="12" t="s">
        <v>25</v>
      </c>
      <c r="B6" s="12" t="s">
        <v>246</v>
      </c>
    </row>
    <row r="7" spans="1:6" ht="89" customHeight="1">
      <c r="A7" s="12" t="s">
        <v>247</v>
      </c>
      <c r="B7" s="12" t="s">
        <v>248</v>
      </c>
    </row>
    <row r="8" spans="1:6" ht="72" customHeight="1">
      <c r="A8" s="12" t="s">
        <v>32</v>
      </c>
      <c r="B8" s="12" t="s">
        <v>249</v>
      </c>
    </row>
    <row r="9" spans="1:6" ht="77" customHeight="1">
      <c r="A9" s="12" t="s">
        <v>2</v>
      </c>
      <c r="B9" s="12" t="s">
        <v>250</v>
      </c>
    </row>
    <row r="10" spans="1:6" ht="67" customHeight="1">
      <c r="A10" s="12" t="s">
        <v>251</v>
      </c>
      <c r="B10" s="12" t="s">
        <v>252</v>
      </c>
    </row>
    <row r="11" spans="1:6" ht="92" customHeight="1">
      <c r="A11" s="23" t="s">
        <v>24</v>
      </c>
      <c r="B11" s="23" t="s">
        <v>253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Sprint 1</vt:lpstr>
      <vt:lpstr>Sprint 2</vt:lpstr>
      <vt:lpstr>Sprint 3</vt:lpstr>
      <vt:lpstr>Sprint 4</vt:lpstr>
      <vt:lpstr>Sprint 5</vt:lpstr>
      <vt:lpstr>Guía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modified xsi:type="dcterms:W3CDTF">2026-10-13T04:03:14Z</dcterms:modified>
</cp:coreProperties>
</file>