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rancheskacisterna/Downloads/"/>
    </mc:Choice>
  </mc:AlternateContent>
  <xr:revisionPtr revIDLastSave="0" documentId="13_ncr:1_{A4EA33BE-51DB-A145-86CD-22D9A501B32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onitoreo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5" i="1"/>
  <c r="O4" i="1"/>
  <c r="O3" i="1"/>
  <c r="O2" i="1"/>
</calcChain>
</file>

<file path=xl/sharedStrings.xml><?xml version="1.0" encoding="utf-8"?>
<sst xmlns="http://schemas.openxmlformats.org/spreadsheetml/2006/main" count="128" uniqueCount="88">
  <si>
    <t>Plan de Trabajo</t>
  </si>
  <si>
    <t>Actividades</t>
  </si>
  <si>
    <t>Recursos</t>
  </si>
  <si>
    <t>Duración de la actividad</t>
  </si>
  <si>
    <t>Responsable</t>
  </si>
  <si>
    <t>Observaciones</t>
  </si>
  <si>
    <t>Estado de avance</t>
  </si>
  <si>
    <t>Ajustes</t>
  </si>
  <si>
    <t>Criterio usado</t>
  </si>
  <si>
    <t>En curso</t>
  </si>
  <si>
    <t>Gestionar proyectos informáticos, ofreciendo alternativas para la toma de decisiones de acuerdo a los requerimientos de la organización.</t>
  </si>
  <si>
    <t>Inicio y definición del proyecto</t>
  </si>
  <si>
    <t>Guía APT, rúbrica, computadores, Internet y herramientas colaborativas.</t>
  </si>
  <si>
    <t>1 semana (S1)</t>
  </si>
  <si>
    <t>Francheska Cisterna, Franco Sáez y Benjamín Nicovani</t>
  </si>
  <si>
    <t>Se definió la problemática y se organizó inicialmente el trabajo del equipo. Facilitó el avance contar con antecedentes previos y herramientas digitales.</t>
  </si>
  <si>
    <t>Completado</t>
  </si>
  <si>
    <t>No se requirieron ajustes relevantes en esta actividad.</t>
  </si>
  <si>
    <t>No iniciado</t>
  </si>
  <si>
    <t>Gestionar proyectos informáticos, ofreciendo alternativas para la toma de decisiones de acuerdo a los requerimientos de la organización. / Desarrollar una solución de software utilizando técnicas que permitan sistematizar el proceso de desarrollo y mantenimiento, asegurando el logro de los objetivos.</t>
  </si>
  <si>
    <t>Definición de alcance y propuesta tecnológica</t>
  </si>
  <si>
    <t>Guía APT, documentación técnica, Figma y GitHub.</t>
  </si>
  <si>
    <t>1 semana (S2)</t>
  </si>
  <si>
    <t>Se definieron usuarios objetivo, alcance, funcionalidades generales y tecnologías de la solución, procurando mantener un alcance factible para el periodo académico.</t>
  </si>
  <si>
    <t>El alcance se mantuvo priorizado hacia las funcionalidades principales del MVP.</t>
  </si>
  <si>
    <t>Con retraso</t>
  </si>
  <si>
    <t>Documentación Fase 1 y definición de Scrum</t>
  </si>
  <si>
    <t>Word, Guía APT, rúbrica, Scrum, Jira y documentación del proyecto.</t>
  </si>
  <si>
    <t>1 semana (S3)</t>
  </si>
  <si>
    <t>Se desarrolló la documentación inicial, se organizó el Product Backlog y se definieron responsabilidades Scrum y Definition of Done.</t>
  </si>
  <si>
    <t>La planificación Scrum fue revisada posteriormente para asegurar que el contenido específico de cada Sprint se determine durante el Sprint Planning.</t>
  </si>
  <si>
    <t>Ajustada</t>
  </si>
  <si>
    <t>Presentación y cierre de Fase 1</t>
  </si>
  <si>
    <t>Documento Fase 1, presentación, rúbrica y retroalimentación docente.</t>
  </si>
  <si>
    <t>1 semana (S4)</t>
  </si>
  <si>
    <t>Se presentó la definición del Proyecto APT y se recibió retroalimentación para mejorar la planificación.</t>
  </si>
  <si>
    <t>Se ajustó la Carta Gantt y la redacción del plan para no predeterminar funcionalidades o tareas de Sprints futuros.</t>
  </si>
  <si>
    <t>Refinamiento del Product Backlog y preparación del Sprint 1</t>
  </si>
  <si>
    <t>Jira, Product Backlog, GitHub, Scrum, computadores y herramientas de desarrollo.</t>
  </si>
  <si>
    <t>1 semana (S5)</t>
  </si>
  <si>
    <t>Benjamín Nicovani, Francheska Cisterna y Franco Sáez</t>
  </si>
  <si>
    <t>Se refinó y priorizó el Product Backlog y se preparó el entorno de trabajo para iniciar el primer Sprint.</t>
  </si>
  <si>
    <t>Se mantuvieron los periodos de Sprint como planificación temporal y se dejó la selección del trabajo específico para el Sprint Planning.</t>
  </si>
  <si>
    <t>Seguridad, privacidad y protección de datos personales</t>
  </si>
  <si>
    <t>Ley N.º 21.719, documentación del proyecto, Django, GitHub y revisión de permisos y autenticación.</t>
  </si>
  <si>
    <t>Actividad transversal (S5–S16)</t>
  </si>
  <si>
    <t>Actividad transversal que se revisa durante el desarrollo. Actualmente se consideran controles de acceso, autenticación y tratamiento responsable de los datos.</t>
  </si>
  <si>
    <t>La revisión de seguridad se realiza de forma progresiva a medida que se implementan y corrigen funcionalidades.</t>
  </si>
  <si>
    <t>Gestionar proyectos informáticos, ofreciendo alternativas para la toma de decisiones de acuerdo a los requerimientos de la organización. / Desarrollar una solución de software utilizando técnicas que permitan sistematizar el proceso de desarrollo y mantenimiento, asegurando el logro de los objetivos. / Construir modelos de datos para soportar los requerimientos de la organización de acuerdo a un diseño definido y escalable en el tiempo. / Realizar pruebas de certificación tanto de los productos como de los procesos utilizando buenas prácticas definidas por la industria.</t>
  </si>
  <si>
    <t>Sprint 1 – Desarrollo iterativo</t>
  </si>
  <si>
    <t>Jira, GitHub, Visual Studio Code, Python, Django, HTML, CSS, JavaScript y SQLite actual.</t>
  </si>
  <si>
    <t>2 semanas (S6–S7)</t>
  </si>
  <si>
    <t>Desarrollar una solución de software utilizando técnicas que permitan sistematizar el proceso de desarrollo y mantenimiento, asegurando el logro de los objetivos. / Realizar pruebas de certificación tanto de los productos como de los procesos utilizando buenas prácticas definidas por la industria.</t>
  </si>
  <si>
    <t>Sprint 2 – Desarrollo iterativo</t>
  </si>
  <si>
    <t>Jira, GitHub y herramientas de desarrollo definidas según el Sprint Backlog.</t>
  </si>
  <si>
    <t>2 semanas (S8–S9)</t>
  </si>
  <si>
    <t>Desarrollar una solución de software utilizando técnicas que permitan sistematizar el proceso de desarrollo y mantenimiento, asegurando el logro de los objetivos. / Construir modelos de datos para soportar los requerimientos de la organización de acuerdo a un diseño definido y escalable en el tiempo. / Realizar pruebas de certificación tanto de los productos como de los procesos utilizando buenas prácticas definidas por la industria.</t>
  </si>
  <si>
    <t>Sprint 3 – Desarrollo iterativo</t>
  </si>
  <si>
    <t>2 semanas (S10–S11)</t>
  </si>
  <si>
    <t>Sprint 4 – Desarrollo iterativo</t>
  </si>
  <si>
    <t>2 semanas (S12–S13)</t>
  </si>
  <si>
    <t>El trabajo se seleccionará desde el Product Backlog durante el Sprint Planning correspondiente.</t>
  </si>
  <si>
    <t>Sin ajustes a la fecha. El alcance se definirá durante el Sprint Planning.</t>
  </si>
  <si>
    <t>Sprint 5 – Desarrollo iterativo</t>
  </si>
  <si>
    <t>2 semanas (S14–S15)</t>
  </si>
  <si>
    <t>Realizar pruebas de certificación tanto de los productos como de los procesos utilizando buenas prácticas definidas por la industria. / Desarrollar una solución de software utilizando técnicas que permitan sistematizar el proceso de desarrollo y mantenimiento, asegurando el logro de los objetivos.</t>
  </si>
  <si>
    <t>Integración final, regresión y mejoras</t>
  </si>
  <si>
    <t>Aplicación, GitHub, plan de pruebas, documentación y base de datos del proyecto.</t>
  </si>
  <si>
    <t>1 semana (S16)</t>
  </si>
  <si>
    <t>Actividad planificada para revisar la solución integrada, ejecutar pruebas finales, corregir incidencias y aplicar mejoras priorizadas.</t>
  </si>
  <si>
    <t>Sin ajustes a la fecha.</t>
  </si>
  <si>
    <t>Gestionar proyectos informáticos, ofreciendo alternativas para la toma de decisiones de acuerdo a los requerimientos de la organización. / Desarrollar una solución de software utilizando técnicas que permitan sistematizar el proceso de desarrollo y mantenimiento, asegurando el logro de los objetivos. / Realizar pruebas de certificación tanto de los productos como de los procesos utilizando buenas prácticas definidas por la industria.</t>
  </si>
  <si>
    <t>Despliegue en Railway y preparación de entrega final</t>
  </si>
  <si>
    <t>Railway, GitHub, aplicación, variables de entorno, documentación y presentación.</t>
  </si>
  <si>
    <t>1 semana (S17)</t>
  </si>
  <si>
    <t>Actividad planificada para desplegar y verificar la solución en un entorno operativo y consolidar la documentación.</t>
  </si>
  <si>
    <t>Presentación y cierre del proyecto</t>
  </si>
  <si>
    <t>Aplicación desplegada, informe final, repositorio GitHub y presentación.</t>
  </si>
  <si>
    <t>1 semana (S18)</t>
  </si>
  <si>
    <t>Actividad destinada a la entrega final, presentación del proyecto y cierre del proceso.</t>
  </si>
  <si>
    <t>Los Sprints 1 y 2 ya fueron completados y el Sprint 3 tiene ocho tareas seleccionadas en Jira. Los Sprints 4 y 5 conservan únicamente su periodo estimado; sus actividades se seleccionarán durante el Sprint Planning desde el Product Backlog priorizado.</t>
  </si>
  <si>
    <t>Sprint 1 finalizado en Jira: 16 de 16 tareas en estado Finalizado. Periodo planificado: 14–28/09/2026. Incluyó componentes UX/UI, rutas y templates, validaciones backend, lógica del MVP, autenticación y permisos, perfiles, seguridad y revisión de SQLite.</t>
  </si>
  <si>
    <t>Se conservaron las 16 tareas seleccionadas y sus responsables. El cierre del Sprint 1 quedó registrado en Jira; su alcance procede del Sprint Backlog acordado por el equipo.</t>
  </si>
  <si>
    <t>Sprint 2 finalizado en Jira: 24 de 24 tareas en estado Finalizado. Inicio: 03/10/2026; cierre registrado: 12/10/2026, antes del término inicialmente previsto para el 17/10. Se abordaron modelo de datos, CRUD, portales por rol, seguridad, pruebas y documentación técnica.</t>
  </si>
  <si>
    <t>Se seleccionaron 24 tareas para consolidación y validación del MVP. Se registró un cierre anticipado del Sprint; las tareas finalizadas deben respaldarse con sus entregables y evidencias técnicas correspondientes.</t>
  </si>
  <si>
    <t>Sprint 3 activo en Jira, del 12 al 25/10/2026. Ocho tareas asignadas; 0 finalizadas y 8 Por hacer. Alcance: buscador con datos reales, filtros y perfiles profesionales, disponibilidad, reservas con control de cupos, seguridad del pago Webpay y pruebas automatizadas.</t>
  </si>
  <si>
    <t>Se incorporaron al Sprint Backlog las tareas SCRUM-29, SCRUM-30, SCRUM-31, SCRUM-32, SCRUM-33, SCRUM-34, SCRUM-48 y SCRUM-52. Asignación: Francheska 2, Benjamín 3, Franco 3. Fecha objetivo de estas tareas: 25/10/2026. Estado observado en Jira: 0/8 finalizadas.</t>
  </si>
  <si>
    <t xml:space="preserve">Competencia o unidad de competencia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</si>
</sst>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2"/>
      <color theme="1"/>
      <name val="Calibri"/>
      <family val="2"/>
    </font>
    <font>
      <b/>
      <sz val="10"/>
      <color rgb="FFFFFFFF"/>
      <name val="Carlito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1"/>
      <color theme="5" tint="-0.249977111117893"/>
      <name val="Carlito"/>
    </font>
    <font>
      <sz val="12"/>
      <color rgb="FF006100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 tint="0.59996337778862885"/>
        <bgColor indexed="6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5" fillId="5" borderId="5" xfId="3" applyBorder="1"/>
    <xf numFmtId="0" fontId="0" fillId="0" borderId="5" xfId="0" applyBorder="1" applyAlignment="1">
      <alignment horizontal="center"/>
    </xf>
    <xf numFmtId="0" fontId="1" fillId="6" borderId="5" xfId="1" applyFont="1" applyFill="1" applyBorder="1"/>
    <xf numFmtId="0" fontId="0" fillId="0" borderId="5" xfId="0" applyBorder="1"/>
    <xf numFmtId="0" fontId="3" fillId="3" borderId="5" xfId="1" applyBorder="1"/>
    <xf numFmtId="0" fontId="4" fillId="4" borderId="5" xfId="2" applyBorder="1"/>
    <xf numFmtId="0" fontId="6" fillId="7" borderId="5" xfId="0" applyFont="1" applyFill="1" applyBorder="1"/>
    <xf numFmtId="0" fontId="7" fillId="3" borderId="5" xfId="1" applyFont="1" applyBorder="1" applyAlignment="1">
      <alignment vertical="top" wrapText="1"/>
    </xf>
    <xf numFmtId="0" fontId="8" fillId="0" borderId="5" xfId="0" applyFont="1" applyBorder="1" applyAlignment="1">
      <alignment wrapText="1"/>
    </xf>
    <xf numFmtId="0" fontId="9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top" wrapText="1"/>
    </xf>
    <xf numFmtId="0" fontId="11" fillId="0" borderId="0" xfId="0" applyFont="1" applyAlignment="1">
      <alignment horizontal="center"/>
    </xf>
  </cellXfs>
  <cellStyles count="4">
    <cellStyle name="Bueno" xfId="1" xr:uid="{00000000-0005-0000-0000-000000000000}"/>
    <cellStyle name="Incorrecto" xfId="2" xr:uid="{00000000-0005-0000-0000-000001000000}"/>
    <cellStyle name="Neutral" xfId="3" xr:uid="{00000000-0005-0000-0000-000002000000}"/>
    <cellStyle name="Normal" xfId="0" builtinId="0"/>
  </cellStyles>
  <dxfs count="5">
    <dxf>
      <font>
        <color theme="5" tint="-0.24994659260841701"/>
      </font>
      <fill>
        <patternFill>
          <bgColor theme="5" tint="0.599932859279152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E7E6E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A13" zoomScale="63" workbookViewId="0">
      <selection activeCell="F2" sqref="F2"/>
    </sheetView>
  </sheetViews>
  <sheetFormatPr baseColWidth="10" defaultColWidth="8.83203125" defaultRowHeight="15"/>
  <cols>
    <col min="1" max="1" width="36" customWidth="1"/>
    <col min="2" max="2" width="30" customWidth="1"/>
    <col min="3" max="3" width="34" customWidth="1"/>
    <col min="4" max="4" width="19" customWidth="1"/>
    <col min="5" max="5" width="28" customWidth="1"/>
    <col min="6" max="6" width="42" customWidth="1"/>
    <col min="7" max="7" width="16" customWidth="1"/>
    <col min="8" max="8" width="42" customWidth="1"/>
    <col min="10" max="10" width="33.83203125" customWidth="1"/>
    <col min="11" max="11" width="12" customWidth="1"/>
    <col min="14" max="14" width="16.33203125" customWidth="1"/>
  </cols>
  <sheetData>
    <row r="1" spans="1:15" ht="45.25" customHeight="1">
      <c r="A1" s="18" t="s">
        <v>0</v>
      </c>
      <c r="B1" s="18"/>
      <c r="C1" s="18"/>
      <c r="D1" s="18"/>
      <c r="E1" s="18"/>
      <c r="F1" s="18"/>
      <c r="G1" s="18"/>
      <c r="H1" s="18"/>
      <c r="J1" s="2"/>
      <c r="K1" s="4"/>
    </row>
    <row r="2" spans="1:15" ht="74.75" customHeight="1">
      <c r="A2" s="16" t="s">
        <v>87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J2" s="16" t="s">
        <v>8</v>
      </c>
      <c r="K2" s="6"/>
      <c r="N2" s="7" t="s">
        <v>9</v>
      </c>
      <c r="O2" s="8">
        <f>COUNTIF($G$3:$G$16,"En curso")</f>
        <v>2</v>
      </c>
    </row>
    <row r="3" spans="1:15" ht="166.75" customHeight="1">
      <c r="A3" s="17" t="s">
        <v>10</v>
      </c>
      <c r="B3" s="17" t="s">
        <v>11</v>
      </c>
      <c r="C3" s="17" t="s">
        <v>12</v>
      </c>
      <c r="D3" s="17" t="s">
        <v>13</v>
      </c>
      <c r="E3" s="17" t="s">
        <v>14</v>
      </c>
      <c r="F3" s="17" t="s">
        <v>15</v>
      </c>
      <c r="G3" s="14" t="s">
        <v>16</v>
      </c>
      <c r="H3" s="17" t="s">
        <v>17</v>
      </c>
      <c r="J3" s="15" t="s">
        <v>80</v>
      </c>
      <c r="K3" s="4"/>
      <c r="N3" s="9" t="s">
        <v>18</v>
      </c>
      <c r="O3" s="8">
        <f>COUNTIF($G$3:$G$16,"No iniciado")</f>
        <v>5</v>
      </c>
    </row>
    <row r="4" spans="1:15" ht="153">
      <c r="A4" s="17" t="s">
        <v>19</v>
      </c>
      <c r="B4" s="17" t="s">
        <v>20</v>
      </c>
      <c r="C4" s="17" t="s">
        <v>21</v>
      </c>
      <c r="D4" s="17" t="s">
        <v>22</v>
      </c>
      <c r="E4" s="17" t="s">
        <v>14</v>
      </c>
      <c r="F4" s="17" t="s">
        <v>23</v>
      </c>
      <c r="G4" s="14" t="s">
        <v>16</v>
      </c>
      <c r="H4" s="17" t="s">
        <v>24</v>
      </c>
      <c r="J4" s="3"/>
      <c r="K4" s="5"/>
      <c r="N4" s="12" t="s">
        <v>25</v>
      </c>
      <c r="O4" s="8">
        <f>COUNTIF($G$3:$G$16,"Con retraso")</f>
        <v>0</v>
      </c>
    </row>
    <row r="5" spans="1:15" ht="128" customHeight="1">
      <c r="A5" s="17" t="s">
        <v>10</v>
      </c>
      <c r="B5" s="17" t="s">
        <v>26</v>
      </c>
      <c r="C5" s="17" t="s">
        <v>27</v>
      </c>
      <c r="D5" s="17" t="s">
        <v>28</v>
      </c>
      <c r="E5" s="17" t="s">
        <v>14</v>
      </c>
      <c r="F5" s="17" t="s">
        <v>29</v>
      </c>
      <c r="G5" s="14" t="s">
        <v>16</v>
      </c>
      <c r="H5" s="17" t="s">
        <v>30</v>
      </c>
      <c r="N5" s="13" t="s">
        <v>31</v>
      </c>
      <c r="O5" s="8">
        <f>COUNTIF($G$3:$G$16,"Ajustada")</f>
        <v>0</v>
      </c>
    </row>
    <row r="6" spans="1:15" ht="128" customHeight="1">
      <c r="A6" s="17" t="s">
        <v>10</v>
      </c>
      <c r="B6" s="17" t="s">
        <v>32</v>
      </c>
      <c r="C6" s="17" t="s">
        <v>33</v>
      </c>
      <c r="D6" s="17" t="s">
        <v>34</v>
      </c>
      <c r="E6" s="17" t="s">
        <v>14</v>
      </c>
      <c r="F6" s="17" t="s">
        <v>35</v>
      </c>
      <c r="G6" s="14" t="s">
        <v>16</v>
      </c>
      <c r="H6" s="17" t="s">
        <v>36</v>
      </c>
      <c r="J6" s="6"/>
      <c r="K6" s="6"/>
      <c r="N6" s="11" t="s">
        <v>16</v>
      </c>
      <c r="O6" s="10">
        <f>COUNTIF($G$3:$G$16,"Completado")</f>
        <v>7</v>
      </c>
    </row>
    <row r="7" spans="1:15" ht="68">
      <c r="A7" s="17" t="s">
        <v>10</v>
      </c>
      <c r="B7" s="17" t="s">
        <v>37</v>
      </c>
      <c r="C7" s="17" t="s">
        <v>38</v>
      </c>
      <c r="D7" s="17" t="s">
        <v>39</v>
      </c>
      <c r="E7" s="17" t="s">
        <v>40</v>
      </c>
      <c r="F7" s="17" t="s">
        <v>41</v>
      </c>
      <c r="G7" s="14" t="s">
        <v>16</v>
      </c>
      <c r="H7" s="17" t="s">
        <v>42</v>
      </c>
      <c r="J7" s="1"/>
      <c r="K7" s="1"/>
    </row>
    <row r="8" spans="1:15" ht="153">
      <c r="A8" s="17" t="s">
        <v>19</v>
      </c>
      <c r="B8" s="17" t="s">
        <v>43</v>
      </c>
      <c r="C8" s="17" t="s">
        <v>44</v>
      </c>
      <c r="D8" s="17" t="s">
        <v>45</v>
      </c>
      <c r="E8" s="17" t="s">
        <v>14</v>
      </c>
      <c r="F8" s="17" t="s">
        <v>46</v>
      </c>
      <c r="G8" s="17" t="s">
        <v>9</v>
      </c>
      <c r="H8" s="17" t="s">
        <v>47</v>
      </c>
      <c r="J8" s="1"/>
      <c r="K8" s="1"/>
    </row>
    <row r="9" spans="1:15" ht="272">
      <c r="A9" s="17" t="s">
        <v>48</v>
      </c>
      <c r="B9" s="17" t="s">
        <v>49</v>
      </c>
      <c r="C9" s="17" t="s">
        <v>50</v>
      </c>
      <c r="D9" s="17" t="s">
        <v>51</v>
      </c>
      <c r="E9" s="17" t="s">
        <v>14</v>
      </c>
      <c r="F9" s="17" t="s">
        <v>81</v>
      </c>
      <c r="G9" s="17" t="s">
        <v>16</v>
      </c>
      <c r="H9" s="17" t="s">
        <v>82</v>
      </c>
      <c r="J9" s="1"/>
      <c r="K9" s="1"/>
    </row>
    <row r="10" spans="1:15" ht="136">
      <c r="A10" s="17" t="s">
        <v>52</v>
      </c>
      <c r="B10" s="17" t="s">
        <v>53</v>
      </c>
      <c r="C10" s="17" t="s">
        <v>54</v>
      </c>
      <c r="D10" s="17" t="s">
        <v>55</v>
      </c>
      <c r="E10" s="17" t="s">
        <v>14</v>
      </c>
      <c r="F10" s="17" t="s">
        <v>83</v>
      </c>
      <c r="G10" s="17" t="s">
        <v>16</v>
      </c>
      <c r="H10" s="17" t="s">
        <v>84</v>
      </c>
      <c r="J10" s="1"/>
      <c r="K10" s="1"/>
    </row>
    <row r="11" spans="1:15" ht="265.25" customHeight="1">
      <c r="A11" s="17" t="s">
        <v>56</v>
      </c>
      <c r="B11" s="17" t="s">
        <v>57</v>
      </c>
      <c r="C11" s="17" t="s">
        <v>54</v>
      </c>
      <c r="D11" s="17" t="s">
        <v>58</v>
      </c>
      <c r="E11" s="17" t="s">
        <v>14</v>
      </c>
      <c r="F11" s="17" t="s">
        <v>85</v>
      </c>
      <c r="G11" s="17" t="s">
        <v>9</v>
      </c>
      <c r="H11" s="17" t="s">
        <v>86</v>
      </c>
      <c r="J11" s="1"/>
      <c r="K11" s="1"/>
    </row>
    <row r="12" spans="1:15" ht="136">
      <c r="A12" s="17" t="s">
        <v>52</v>
      </c>
      <c r="B12" s="17" t="s">
        <v>59</v>
      </c>
      <c r="C12" s="17" t="s">
        <v>54</v>
      </c>
      <c r="D12" s="17" t="s">
        <v>60</v>
      </c>
      <c r="E12" s="17" t="s">
        <v>14</v>
      </c>
      <c r="F12" s="17" t="s">
        <v>61</v>
      </c>
      <c r="G12" s="17" t="s">
        <v>18</v>
      </c>
      <c r="H12" s="17" t="s">
        <v>62</v>
      </c>
    </row>
    <row r="13" spans="1:15" ht="136">
      <c r="A13" s="17" t="s">
        <v>52</v>
      </c>
      <c r="B13" s="17" t="s">
        <v>63</v>
      </c>
      <c r="C13" s="17" t="s">
        <v>54</v>
      </c>
      <c r="D13" s="17" t="s">
        <v>64</v>
      </c>
      <c r="E13" s="17" t="s">
        <v>14</v>
      </c>
      <c r="F13" s="17" t="s">
        <v>61</v>
      </c>
      <c r="G13" s="17" t="s">
        <v>18</v>
      </c>
      <c r="H13" s="17" t="s">
        <v>62</v>
      </c>
    </row>
    <row r="14" spans="1:15" ht="136">
      <c r="A14" s="17" t="s">
        <v>65</v>
      </c>
      <c r="B14" s="17" t="s">
        <v>66</v>
      </c>
      <c r="C14" s="17" t="s">
        <v>67</v>
      </c>
      <c r="D14" s="17" t="s">
        <v>68</v>
      </c>
      <c r="E14" s="17" t="s">
        <v>14</v>
      </c>
      <c r="F14" s="17" t="s">
        <v>69</v>
      </c>
      <c r="G14" s="17" t="s">
        <v>18</v>
      </c>
      <c r="H14" s="17" t="s">
        <v>70</v>
      </c>
    </row>
    <row r="15" spans="1:15" ht="264" customHeight="1">
      <c r="A15" s="17" t="s">
        <v>71</v>
      </c>
      <c r="B15" s="17" t="s">
        <v>72</v>
      </c>
      <c r="C15" s="17" t="s">
        <v>73</v>
      </c>
      <c r="D15" s="17" t="s">
        <v>74</v>
      </c>
      <c r="E15" s="17" t="s">
        <v>14</v>
      </c>
      <c r="F15" s="17" t="s">
        <v>75</v>
      </c>
      <c r="G15" s="17" t="s">
        <v>18</v>
      </c>
      <c r="H15" s="17" t="s">
        <v>70</v>
      </c>
    </row>
    <row r="16" spans="1:15" ht="128" customHeight="1">
      <c r="A16" s="17" t="s">
        <v>10</v>
      </c>
      <c r="B16" s="17" t="s">
        <v>76</v>
      </c>
      <c r="C16" s="17" t="s">
        <v>77</v>
      </c>
      <c r="D16" s="17" t="s">
        <v>78</v>
      </c>
      <c r="E16" s="17" t="s">
        <v>14</v>
      </c>
      <c r="F16" s="17" t="s">
        <v>79</v>
      </c>
      <c r="G16" s="17" t="s">
        <v>18</v>
      </c>
      <c r="H16" s="17" t="s">
        <v>70</v>
      </c>
    </row>
  </sheetData>
  <mergeCells count="1">
    <mergeCell ref="A1:H1"/>
  </mergeCells>
  <conditionalFormatting sqref="G3:G16">
    <cfRule type="expression" dxfId="4" priority="1">
      <formula>G3="Completado"</formula>
    </cfRule>
    <cfRule type="expression" dxfId="3" priority="2" stopIfTrue="1">
      <formula>G3="En curso"</formula>
    </cfRule>
    <cfRule type="expression" dxfId="2" priority="3">
      <formula>G3="No iniciado"</formula>
    </cfRule>
    <cfRule type="expression" dxfId="1" priority="4" stopIfTrue="1">
      <formula>G3="Con retraso"</formula>
    </cfRule>
    <cfRule type="expression" dxfId="0" priority="5" stopIfTrue="1">
      <formula>G3="Ajustada"</formula>
    </cfRule>
  </conditionalFormatting>
  <dataValidations count="1">
    <dataValidation type="list" sqref="G3:G16" xr:uid="{00000000-0002-0000-0000-000000000000}">
      <formula1>"En curso,Con retraso,No iniciado,Completado,Ajustada"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modified xsi:type="dcterms:W3CDTF">2026-10-13T01:44:10Z</dcterms:modified>
</cp:coreProperties>
</file>